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iria.gomez\Desktop\ordenar despues febrero 2025\CORRESPONDENCIA 2025\"/>
    </mc:Choice>
  </mc:AlternateContent>
  <bookViews>
    <workbookView xWindow="0" yWindow="0" windowWidth="24000" windowHeight="9075"/>
  </bookViews>
  <sheets>
    <sheet name="REGULACION TECHOS ENERO -DIC 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47" i="1" l="1"/>
  <c r="AS47" i="1"/>
  <c r="CE47" i="1" s="1"/>
  <c r="AL47" i="1"/>
  <c r="B47" i="1"/>
  <c r="AM47" i="1" s="1"/>
  <c r="CD46" i="1"/>
  <c r="AS46" i="1"/>
  <c r="CE46" i="1" s="1"/>
  <c r="AL46" i="1"/>
  <c r="B46" i="1"/>
  <c r="CD45" i="1"/>
  <c r="CD48" i="1" s="1"/>
  <c r="AS45" i="1"/>
  <c r="CE45" i="1" s="1"/>
  <c r="AL45" i="1"/>
  <c r="B45" i="1"/>
  <c r="B48" i="1" s="1"/>
  <c r="AM48" i="1" s="1"/>
  <c r="CD42" i="1"/>
  <c r="AS42" i="1"/>
  <c r="CE42" i="1" s="1"/>
  <c r="AL42" i="1"/>
  <c r="B42" i="1"/>
  <c r="AM42" i="1" s="1"/>
  <c r="CE41" i="1"/>
  <c r="AM41" i="1"/>
  <c r="CE40" i="1"/>
  <c r="AM40" i="1"/>
  <c r="CE39" i="1"/>
  <c r="AM39" i="1"/>
  <c r="CE20" i="1"/>
  <c r="CD20" i="1"/>
  <c r="AS20" i="1"/>
  <c r="AM20" i="1"/>
  <c r="AL20" i="1"/>
  <c r="B20" i="1"/>
  <c r="AN20" i="1" s="1"/>
  <c r="CE19" i="1"/>
  <c r="CD19" i="1"/>
  <c r="AS19" i="1"/>
  <c r="AM19" i="1"/>
  <c r="AL19" i="1"/>
  <c r="B19" i="1"/>
  <c r="B21" i="1" s="1"/>
  <c r="CE18" i="1"/>
  <c r="CD18" i="1"/>
  <c r="CD21" i="1" s="1"/>
  <c r="AS18" i="1"/>
  <c r="CF18" i="1" s="1"/>
  <c r="AM18" i="1"/>
  <c r="AM21" i="1" s="1"/>
  <c r="AL18" i="1"/>
  <c r="AN18" i="1" s="1"/>
  <c r="CE15" i="1"/>
  <c r="CD15" i="1"/>
  <c r="AS15" i="1"/>
  <c r="AM15" i="1"/>
  <c r="AL15" i="1"/>
  <c r="B15" i="1"/>
  <c r="CF14" i="1"/>
  <c r="AN14" i="1"/>
  <c r="CF13" i="1"/>
  <c r="AN13" i="1"/>
  <c r="CF12" i="1"/>
  <c r="CF15" i="1" s="1"/>
  <c r="AN12" i="1"/>
  <c r="AN15" i="1" l="1"/>
  <c r="AS48" i="1"/>
  <c r="CE48" i="1" s="1"/>
  <c r="CE21" i="1"/>
  <c r="CF19" i="1"/>
  <c r="CF21" i="1" s="1"/>
  <c r="CF20" i="1"/>
  <c r="AM46" i="1"/>
  <c r="AS21" i="1"/>
  <c r="AM45" i="1"/>
  <c r="AN19" i="1"/>
  <c r="AN21" i="1" s="1"/>
  <c r="AL21" i="1"/>
</calcChain>
</file>

<file path=xl/sharedStrings.xml><?xml version="1.0" encoding="utf-8"?>
<sst xmlns="http://schemas.openxmlformats.org/spreadsheetml/2006/main" count="97" uniqueCount="39">
  <si>
    <t xml:space="preserve">CON ANTERIOR LEY DE SEGURIDAD SOCIAL </t>
  </si>
  <si>
    <t xml:space="preserve">  Establecido en ley del Seguro Social Decreto 140-1959  artículo 55-A y 55-B en cuanto a los porcentajes de deducción en la facturación del IHSS.</t>
  </si>
  <si>
    <t xml:space="preserve">PORCENTAJES DE COTIZACIÓN GOBIERNO CENTRAL </t>
  </si>
  <si>
    <t>TASAS Y TECHOS  DE COTIZACIÓN PARA EMPLEADOS POR CONTRATO, DE INSTITUCIONES DEL SECTOR GOBIERNO,  AUTÓNOMAS Y DESCENTRALIZADAS</t>
  </si>
  <si>
    <t>EMPLEADOS POR CONTRATO PERIODO SEPT.  2015</t>
  </si>
  <si>
    <t>PERIODO ENERO A  DICIEMBRE  2025</t>
  </si>
  <si>
    <t>APORTACIÓN</t>
  </si>
  <si>
    <t>S.P.S (I.V.M)%</t>
  </si>
  <si>
    <t>S.A.S (E.M) %</t>
  </si>
  <si>
    <t>S.C.L (R.P) %</t>
  </si>
  <si>
    <t>TOTAL  %</t>
  </si>
  <si>
    <t xml:space="preserve"> I.V.M.</t>
  </si>
  <si>
    <t>E.M.</t>
  </si>
  <si>
    <t>R.P.</t>
  </si>
  <si>
    <t>TECHO</t>
  </si>
  <si>
    <t>****</t>
  </si>
  <si>
    <t>ESTADO</t>
  </si>
  <si>
    <t>TRABAJADORES</t>
  </si>
  <si>
    <t>PATRONO</t>
  </si>
  <si>
    <t>TOTALES</t>
  </si>
  <si>
    <t>COTIZACIÓN EN LEMPIRAS</t>
  </si>
  <si>
    <t xml:space="preserve">COTIZACIÓN MÁXIMA EN LEMPIRAS </t>
  </si>
  <si>
    <t>APORTACION</t>
  </si>
  <si>
    <t>MONTO COTIZABLE</t>
  </si>
  <si>
    <t xml:space="preserve">TOTALES </t>
  </si>
  <si>
    <t>PARA ESTE SECTOR GOBIERNO CONTRATO EL TECHO DE COTIZACIÓN  PARA EL RÉGIMEN I.V.M.  ES L.11,336,32 PARA EL RÉGIMEN DE E.M: 11.109,30 PARA EL REGIMEN DE R.P. : 11.109,30.</t>
  </si>
  <si>
    <t>CON ANTERIOR LEY DE SEGURIDAD SOCIAL</t>
  </si>
  <si>
    <t>Establecido en ley del Seguro Social Decreto 140-1959  artículo 55-A y 55-B en cuanto a los porcentajes de deducción en la facturación del IHSS.</t>
  </si>
  <si>
    <t>PORCENTAJE DE COTIZACIÓN GOBIERNO CENTRAL,                    AUTÓNOMAS Y DESCENTRALIZADAS</t>
  </si>
  <si>
    <t>TASAS Y TECHOS  DE COTIZACIÓN PARA EMPLEADOS PERMANENTES DE INSTITUCIONES DEL SECTOR  GOBIERNO,  AUTÓNOMAS Y DESCENTRALIZADAS                                                             DEL PERIODO DE ENERO A DICIEMBRE DE 2025</t>
  </si>
  <si>
    <t xml:space="preserve">EMPLEADOS PERMANENTES SEPT. 2015  </t>
  </si>
  <si>
    <t>S.C.L (R,P) %</t>
  </si>
  <si>
    <t xml:space="preserve"> R.P.</t>
  </si>
  <si>
    <t>TOTAL %</t>
  </si>
  <si>
    <t>OBSERVACIÓN</t>
  </si>
  <si>
    <t>***</t>
  </si>
  <si>
    <t xml:space="preserve">S.A.S (E.M) </t>
  </si>
  <si>
    <t>S.C.L (R.P)</t>
  </si>
  <si>
    <t xml:space="preserve"> ÉSTE SECTOR  COTIZA A OTROS INSTITUTOS DE PREVISIÓN SOCIAL, SE COBRARA  I.V.M. EN CASOS EXCEPCIONALES QUE DEBEN COTIZAR  CUANDO EL OTRO SISTEMA NO LOS ACOJE Y  PARA LOS RÉGIMENES DE E.M. Y R.P. EL TECHO SERA DE L. 11,109,30  CON LOS MISMOS PORCENTAJES DE COTIZACIÓN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</si>
</sst>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&quot;L.&quot;\ #,##0.00;[Red]&quot;L.&quot;\ #,##0.00"/>
    <numFmt numFmtId="165" formatCode="0.0%"/>
    <numFmt numFmtId="166" formatCode="0.00;[Red]0.00"/>
    <numFmt numFmtId="167" formatCode="0.00000%"/>
    <numFmt numFmtId="168" formatCode="#,##0.00;[Red]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3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6"/>
      <color theme="3"/>
      <name val="Calibri Light"/>
      <family val="1"/>
      <scheme val="major"/>
    </font>
    <font>
      <b/>
      <sz val="16"/>
      <name val="Calibri Light"/>
      <family val="1"/>
      <scheme val="major"/>
    </font>
    <font>
      <b/>
      <sz val="20"/>
      <name val="Calibri"/>
      <family val="2"/>
      <scheme val="minor"/>
    </font>
    <font>
      <b/>
      <sz val="20"/>
      <name val="Calibri Light"/>
      <family val="1"/>
      <scheme val="major"/>
    </font>
    <font>
      <b/>
      <u val="double"/>
      <sz val="20"/>
      <name val="Bell MT"/>
      <family val="1"/>
    </font>
    <font>
      <b/>
      <sz val="12"/>
      <color theme="0"/>
      <name val="Calibri"/>
      <family val="2"/>
      <scheme val="minor"/>
    </font>
    <font>
      <b/>
      <sz val="12"/>
      <color theme="0"/>
      <name val="Calibri Light"/>
      <family val="1"/>
      <scheme val="major"/>
    </font>
    <font>
      <sz val="20"/>
      <color theme="1"/>
      <name val="Calibri"/>
      <family val="2"/>
      <scheme val="minor"/>
    </font>
    <font>
      <b/>
      <sz val="16"/>
      <color theme="0"/>
      <name val="Calibri Light"/>
      <family val="1"/>
      <scheme val="major"/>
    </font>
    <font>
      <b/>
      <sz val="14"/>
      <color theme="0"/>
      <name val="Calibri Light"/>
      <family val="1"/>
      <scheme val="maj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3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8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b/>
      <sz val="12"/>
      <color theme="1"/>
      <name val="Bell MT"/>
      <family val="1"/>
    </font>
    <font>
      <b/>
      <i/>
      <u val="double"/>
      <sz val="12"/>
      <color theme="1"/>
      <name val="Bell MT"/>
      <family val="1"/>
    </font>
    <font>
      <b/>
      <i/>
      <u val="double"/>
      <sz val="16"/>
      <color theme="1"/>
      <name val="Bell MT"/>
      <family val="1"/>
    </font>
    <font>
      <b/>
      <sz val="12"/>
      <name val="Calibri Light"/>
      <family val="1"/>
      <scheme val="maj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2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7" fillId="0" borderId="0" xfId="0" applyFont="1"/>
    <xf numFmtId="0" fontId="6" fillId="2" borderId="0" xfId="0" applyFont="1" applyFill="1" applyBorder="1" applyAlignment="1">
      <alignment vertical="center" wrapText="1"/>
    </xf>
    <xf numFmtId="164" fontId="7" fillId="2" borderId="0" xfId="0" applyNumberFormat="1" applyFont="1" applyFill="1" applyBorder="1"/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4" fontId="10" fillId="3" borderId="0" xfId="1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2" fillId="2" borderId="0" xfId="0" applyFont="1" applyFill="1"/>
    <xf numFmtId="0" fontId="13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/>
    </xf>
    <xf numFmtId="4" fontId="14" fillId="4" borderId="5" xfId="1" applyNumberFormat="1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4" fontId="16" fillId="2" borderId="2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vertical="center"/>
    </xf>
    <xf numFmtId="4" fontId="16" fillId="2" borderId="6" xfId="1" applyNumberFormat="1" applyFont="1" applyFill="1" applyBorder="1" applyAlignment="1">
      <alignment horizontal="right" vertical="center"/>
    </xf>
    <xf numFmtId="43" fontId="16" fillId="2" borderId="2" xfId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43" fontId="18" fillId="2" borderId="8" xfId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vertical="center"/>
    </xf>
    <xf numFmtId="4" fontId="18" fillId="2" borderId="9" xfId="1" applyNumberFormat="1" applyFont="1" applyFill="1" applyBorder="1" applyAlignment="1">
      <alignment vertical="center"/>
    </xf>
    <xf numFmtId="43" fontId="18" fillId="2" borderId="10" xfId="1" applyFont="1" applyFill="1" applyBorder="1" applyAlignment="1">
      <alignment horizontal="center" vertical="center"/>
    </xf>
    <xf numFmtId="0" fontId="15" fillId="0" borderId="11" xfId="0" applyFont="1" applyBorder="1"/>
    <xf numFmtId="165" fontId="17" fillId="0" borderId="12" xfId="0" applyNumberFormat="1" applyFont="1" applyBorder="1" applyAlignment="1">
      <alignment horizontal="center"/>
    </xf>
    <xf numFmtId="0" fontId="17" fillId="0" borderId="12" xfId="0" applyFont="1" applyBorder="1"/>
    <xf numFmtId="165" fontId="16" fillId="0" borderId="13" xfId="0" applyNumberFormat="1" applyFont="1" applyBorder="1" applyAlignment="1">
      <alignment horizontal="center"/>
    </xf>
    <xf numFmtId="165" fontId="16" fillId="2" borderId="0" xfId="0" applyNumberFormat="1" applyFont="1" applyFill="1" applyBorder="1" applyAlignment="1">
      <alignment horizontal="center"/>
    </xf>
    <xf numFmtId="0" fontId="17" fillId="2" borderId="0" xfId="0" applyFont="1" applyFill="1"/>
    <xf numFmtId="0" fontId="19" fillId="0" borderId="11" xfId="0" applyFont="1" applyBorder="1" applyAlignment="1">
      <alignment vertical="center"/>
    </xf>
    <xf numFmtId="165" fontId="20" fillId="0" borderId="12" xfId="0" applyNumberFormat="1" applyFont="1" applyBorder="1" applyAlignment="1">
      <alignment horizontal="center"/>
    </xf>
    <xf numFmtId="0" fontId="20" fillId="0" borderId="6" xfId="0" applyFont="1" applyBorder="1"/>
    <xf numFmtId="165" fontId="21" fillId="0" borderId="13" xfId="0" applyNumberFormat="1" applyFont="1" applyBorder="1" applyAlignment="1">
      <alignment horizontal="center"/>
    </xf>
    <xf numFmtId="0" fontId="15" fillId="0" borderId="14" xfId="0" applyFont="1" applyBorder="1"/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/>
    <xf numFmtId="165" fontId="16" fillId="0" borderId="16" xfId="0" applyNumberFormat="1" applyFont="1" applyBorder="1" applyAlignment="1">
      <alignment horizontal="center"/>
    </xf>
    <xf numFmtId="0" fontId="19" fillId="0" borderId="14" xfId="0" applyFont="1" applyBorder="1" applyAlignment="1">
      <alignment vertical="center"/>
    </xf>
    <xf numFmtId="165" fontId="20" fillId="5" borderId="15" xfId="0" applyNumberFormat="1" applyFont="1" applyFill="1" applyBorder="1" applyAlignment="1">
      <alignment horizontal="center"/>
    </xf>
    <xf numFmtId="0" fontId="20" fillId="0" borderId="0" xfId="0" applyFont="1" applyBorder="1"/>
    <xf numFmtId="165" fontId="20" fillId="0" borderId="15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/>
    </xf>
    <xf numFmtId="0" fontId="0" fillId="2" borderId="0" xfId="0" applyFill="1" applyAlignment="1">
      <alignment horizontal="right"/>
    </xf>
    <xf numFmtId="0" fontId="15" fillId="0" borderId="18" xfId="0" applyFont="1" applyBorder="1"/>
    <xf numFmtId="165" fontId="17" fillId="0" borderId="19" xfId="0" applyNumberFormat="1" applyFont="1" applyBorder="1" applyAlignment="1">
      <alignment horizontal="center"/>
    </xf>
    <xf numFmtId="0" fontId="17" fillId="0" borderId="19" xfId="0" applyFont="1" applyBorder="1"/>
    <xf numFmtId="165" fontId="16" fillId="0" borderId="20" xfId="0" applyNumberFormat="1" applyFont="1" applyBorder="1" applyAlignment="1">
      <alignment horizontal="center"/>
    </xf>
    <xf numFmtId="0" fontId="19" fillId="0" borderId="18" xfId="0" applyFont="1" applyBorder="1" applyAlignment="1">
      <alignment vertical="center"/>
    </xf>
    <xf numFmtId="165" fontId="20" fillId="5" borderId="19" xfId="0" applyNumberFormat="1" applyFont="1" applyFill="1" applyBorder="1" applyAlignment="1">
      <alignment horizontal="center"/>
    </xf>
    <xf numFmtId="0" fontId="20" fillId="0" borderId="21" xfId="0" applyFont="1" applyBorder="1"/>
    <xf numFmtId="165" fontId="20" fillId="0" borderId="19" xfId="0" applyNumberFormat="1" applyFont="1" applyBorder="1" applyAlignment="1">
      <alignment horizontal="center"/>
    </xf>
    <xf numFmtId="165" fontId="21" fillId="0" borderId="22" xfId="0" applyNumberFormat="1" applyFont="1" applyBorder="1" applyAlignment="1">
      <alignment horizontal="center"/>
    </xf>
    <xf numFmtId="0" fontId="15" fillId="2" borderId="23" xfId="0" applyFont="1" applyFill="1" applyBorder="1"/>
    <xf numFmtId="165" fontId="15" fillId="2" borderId="24" xfId="0" applyNumberFormat="1" applyFont="1" applyFill="1" applyBorder="1" applyAlignment="1">
      <alignment horizontal="center"/>
    </xf>
    <xf numFmtId="165" fontId="15" fillId="2" borderId="21" xfId="0" applyNumberFormat="1" applyFont="1" applyFill="1" applyBorder="1"/>
    <xf numFmtId="165" fontId="15" fillId="2" borderId="22" xfId="0" applyNumberFormat="1" applyFont="1" applyFill="1" applyBorder="1" applyAlignment="1">
      <alignment horizontal="center"/>
    </xf>
    <xf numFmtId="165" fontId="15" fillId="2" borderId="0" xfId="0" applyNumberFormat="1" applyFont="1" applyFill="1" applyBorder="1" applyAlignment="1">
      <alignment horizontal="center"/>
    </xf>
    <xf numFmtId="0" fontId="15" fillId="2" borderId="7" xfId="0" applyFont="1" applyFill="1" applyBorder="1"/>
    <xf numFmtId="165" fontId="15" fillId="2" borderId="8" xfId="0" applyNumberFormat="1" applyFont="1" applyFill="1" applyBorder="1" applyAlignment="1">
      <alignment horizontal="center"/>
    </xf>
    <xf numFmtId="0" fontId="15" fillId="2" borderId="8" xfId="0" applyFont="1" applyFill="1" applyBorder="1"/>
    <xf numFmtId="165" fontId="15" fillId="2" borderId="1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justify" wrapText="1"/>
    </xf>
    <xf numFmtId="0" fontId="10" fillId="3" borderId="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4" fontId="10" fillId="3" borderId="9" xfId="1" applyNumberFormat="1" applyFont="1" applyFill="1" applyBorder="1" applyAlignment="1">
      <alignment horizontal="right" vertical="center"/>
    </xf>
    <xf numFmtId="0" fontId="10" fillId="3" borderId="25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center"/>
    </xf>
    <xf numFmtId="0" fontId="13" fillId="4" borderId="26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right"/>
    </xf>
    <xf numFmtId="0" fontId="23" fillId="0" borderId="27" xfId="0" applyFont="1" applyBorder="1"/>
    <xf numFmtId="2" fontId="20" fillId="0" borderId="28" xfId="0" applyNumberFormat="1" applyFont="1" applyBorder="1" applyAlignment="1">
      <alignment horizontal="right"/>
    </xf>
    <xf numFmtId="2" fontId="20" fillId="0" borderId="0" xfId="0" applyNumberFormat="1" applyFont="1" applyAlignment="1">
      <alignment horizontal="center"/>
    </xf>
    <xf numFmtId="2" fontId="20" fillId="0" borderId="28" xfId="0" applyNumberFormat="1" applyFont="1" applyBorder="1" applyAlignment="1">
      <alignment horizontal="center"/>
    </xf>
    <xf numFmtId="2" fontId="21" fillId="0" borderId="29" xfId="0" applyNumberFormat="1" applyFont="1" applyBorder="1" applyAlignment="1">
      <alignment horizontal="center"/>
    </xf>
    <xf numFmtId="2" fontId="21" fillId="2" borderId="30" xfId="0" applyNumberFormat="1" applyFont="1" applyFill="1" applyBorder="1" applyAlignment="1">
      <alignment horizontal="center" vertical="center"/>
    </xf>
    <xf numFmtId="2" fontId="21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/>
    <xf numFmtId="0" fontId="19" fillId="0" borderId="27" xfId="0" applyFont="1" applyBorder="1"/>
    <xf numFmtId="4" fontId="20" fillId="0" borderId="28" xfId="0" applyNumberFormat="1" applyFont="1" applyBorder="1" applyAlignment="1">
      <alignment horizontal="center"/>
    </xf>
    <xf numFmtId="0" fontId="20" fillId="0" borderId="0" xfId="0" applyFont="1"/>
    <xf numFmtId="4" fontId="21" fillId="0" borderId="17" xfId="0" applyNumberFormat="1" applyFont="1" applyBorder="1" applyAlignment="1">
      <alignment horizontal="center"/>
    </xf>
    <xf numFmtId="166" fontId="0" fillId="2" borderId="0" xfId="0" applyNumberFormat="1" applyFill="1" applyBorder="1"/>
    <xf numFmtId="167" fontId="0" fillId="2" borderId="0" xfId="0" applyNumberFormat="1" applyFill="1"/>
    <xf numFmtId="0" fontId="23" fillId="0" borderId="14" xfId="0" applyFont="1" applyBorder="1"/>
    <xf numFmtId="2" fontId="20" fillId="0" borderId="15" xfId="0" applyNumberFormat="1" applyFont="1" applyBorder="1" applyAlignment="1">
      <alignment horizontal="right"/>
    </xf>
    <xf numFmtId="2" fontId="20" fillId="0" borderId="15" xfId="0" applyNumberFormat="1" applyFont="1" applyBorder="1" applyAlignment="1">
      <alignment horizontal="center"/>
    </xf>
    <xf numFmtId="2" fontId="21" fillId="2" borderId="31" xfId="0" applyNumberFormat="1" applyFont="1" applyFill="1" applyBorder="1" applyAlignment="1">
      <alignment horizontal="center" vertical="center"/>
    </xf>
    <xf numFmtId="0" fontId="19" fillId="0" borderId="14" xfId="0" applyFont="1" applyBorder="1"/>
    <xf numFmtId="4" fontId="20" fillId="5" borderId="15" xfId="0" applyNumberFormat="1" applyFont="1" applyFill="1" applyBorder="1" applyAlignment="1">
      <alignment horizontal="center"/>
    </xf>
    <xf numFmtId="4" fontId="20" fillId="0" borderId="15" xfId="0" applyNumberFormat="1" applyFont="1" applyBorder="1" applyAlignment="1">
      <alignment horizontal="center"/>
    </xf>
    <xf numFmtId="0" fontId="23" fillId="0" borderId="32" xfId="0" applyFont="1" applyBorder="1"/>
    <xf numFmtId="2" fontId="20" fillId="0" borderId="33" xfId="0" applyNumberFormat="1" applyFont="1" applyBorder="1" applyAlignment="1">
      <alignment horizontal="right"/>
    </xf>
    <xf numFmtId="2" fontId="20" fillId="0" borderId="33" xfId="0" applyNumberFormat="1" applyFont="1" applyBorder="1" applyAlignment="1">
      <alignment horizontal="center"/>
    </xf>
    <xf numFmtId="2" fontId="21" fillId="2" borderId="34" xfId="0" applyNumberFormat="1" applyFont="1" applyFill="1" applyBorder="1" applyAlignment="1">
      <alignment horizontal="center" vertical="center"/>
    </xf>
    <xf numFmtId="0" fontId="19" fillId="0" borderId="32" xfId="0" applyFont="1" applyBorder="1"/>
    <xf numFmtId="4" fontId="20" fillId="5" borderId="33" xfId="0" applyNumberFormat="1" applyFont="1" applyFill="1" applyBorder="1" applyAlignment="1">
      <alignment horizontal="center"/>
    </xf>
    <xf numFmtId="4" fontId="20" fillId="0" borderId="33" xfId="0" applyNumberFormat="1" applyFont="1" applyBorder="1" applyAlignment="1">
      <alignment horizontal="center"/>
    </xf>
    <xf numFmtId="4" fontId="21" fillId="0" borderId="35" xfId="0" applyNumberFormat="1" applyFont="1" applyBorder="1" applyAlignment="1">
      <alignment horizontal="center"/>
    </xf>
    <xf numFmtId="0" fontId="15" fillId="2" borderId="7" xfId="0" applyFont="1" applyFill="1" applyBorder="1" applyAlignment="1">
      <alignment vertical="center"/>
    </xf>
    <xf numFmtId="2" fontId="15" fillId="2" borderId="8" xfId="0" applyNumberFormat="1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" fontId="15" fillId="2" borderId="36" xfId="0" applyNumberFormat="1" applyFont="1" applyFill="1" applyBorder="1" applyAlignment="1">
      <alignment horizontal="center" vertical="center"/>
    </xf>
    <xf numFmtId="2" fontId="16" fillId="2" borderId="4" xfId="0" applyNumberFormat="1" applyFont="1" applyFill="1" applyBorder="1" applyAlignment="1">
      <alignment horizontal="center" vertical="center"/>
    </xf>
    <xf numFmtId="2" fontId="16" fillId="2" borderId="0" xfId="0" applyNumberFormat="1" applyFont="1" applyFill="1" applyBorder="1" applyAlignment="1">
      <alignment horizontal="center" vertical="center"/>
    </xf>
    <xf numFmtId="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4" fontId="16" fillId="2" borderId="10" xfId="0" applyNumberFormat="1" applyFont="1" applyFill="1" applyBorder="1" applyAlignment="1">
      <alignment horizontal="center" vertical="center"/>
    </xf>
    <xf numFmtId="4" fontId="0" fillId="2" borderId="0" xfId="0" applyNumberFormat="1" applyFill="1" applyBorder="1"/>
    <xf numFmtId="4" fontId="0" fillId="2" borderId="0" xfId="0" applyNumberFormat="1" applyFill="1"/>
    <xf numFmtId="0" fontId="24" fillId="2" borderId="0" xfId="0" applyFont="1" applyFill="1" applyBorder="1"/>
    <xf numFmtId="0" fontId="24" fillId="2" borderId="0" xfId="0" applyFont="1" applyFill="1" applyBorder="1" applyAlignment="1">
      <alignment horizontal="center"/>
    </xf>
    <xf numFmtId="0" fontId="4" fillId="2" borderId="0" xfId="0" applyFont="1" applyFill="1" applyBorder="1"/>
    <xf numFmtId="168" fontId="25" fillId="2" borderId="0" xfId="0" applyNumberFormat="1" applyFont="1" applyFill="1" applyBorder="1"/>
    <xf numFmtId="0" fontId="24" fillId="2" borderId="0" xfId="0" applyFont="1" applyFill="1"/>
    <xf numFmtId="0" fontId="26" fillId="2" borderId="0" xfId="0" applyFont="1" applyFill="1" applyBorder="1" applyAlignment="1">
      <alignment horizontal="justify" vertical="center" wrapText="1"/>
    </xf>
    <xf numFmtId="0" fontId="27" fillId="2" borderId="0" xfId="0" applyFont="1" applyFill="1" applyBorder="1" applyAlignment="1">
      <alignment horizontal="center" vertical="center" wrapText="1"/>
    </xf>
    <xf numFmtId="168" fontId="28" fillId="2" borderId="0" xfId="0" applyNumberFormat="1" applyFont="1" applyFill="1" applyBorder="1"/>
    <xf numFmtId="0" fontId="0" fillId="2" borderId="0" xfId="0" applyFill="1" applyBorder="1"/>
    <xf numFmtId="0" fontId="29" fillId="2" borderId="0" xfId="0" applyFont="1" applyFill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30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1" fillId="2" borderId="0" xfId="0" applyFont="1" applyFill="1" applyAlignment="1">
      <alignment vertical="center" wrapText="1"/>
    </xf>
    <xf numFmtId="0" fontId="32" fillId="0" borderId="0" xfId="0" applyFont="1" applyAlignment="1">
      <alignment vertical="center" wrapText="1"/>
    </xf>
    <xf numFmtId="0" fontId="13" fillId="4" borderId="37" xfId="0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4" fontId="13" fillId="4" borderId="0" xfId="1" applyNumberFormat="1" applyFont="1" applyFill="1" applyBorder="1" applyAlignment="1">
      <alignment horizontal="right" vertical="center"/>
    </xf>
    <xf numFmtId="0" fontId="14" fillId="4" borderId="38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vertical="center" wrapText="1"/>
    </xf>
    <xf numFmtId="0" fontId="33" fillId="2" borderId="0" xfId="0" applyFont="1" applyFill="1" applyAlignment="1">
      <alignment wrapText="1"/>
    </xf>
    <xf numFmtId="0" fontId="16" fillId="2" borderId="7" xfId="0" applyFont="1" applyFill="1" applyBorder="1"/>
    <xf numFmtId="43" fontId="16" fillId="2" borderId="8" xfId="1" applyFont="1" applyFill="1" applyBorder="1"/>
    <xf numFmtId="0" fontId="16" fillId="2" borderId="8" xfId="0" applyFont="1" applyFill="1" applyBorder="1"/>
    <xf numFmtId="0" fontId="16" fillId="2" borderId="10" xfId="0" applyFont="1" applyFill="1" applyBorder="1" applyAlignment="1">
      <alignment horizontal="center"/>
    </xf>
    <xf numFmtId="4" fontId="18" fillId="2" borderId="0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7" fillId="0" borderId="27" xfId="0" applyFont="1" applyBorder="1"/>
    <xf numFmtId="165" fontId="17" fillId="0" borderId="2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6" fillId="0" borderId="17" xfId="0" applyNumberFormat="1" applyFont="1" applyBorder="1" applyAlignment="1">
      <alignment horizontal="center"/>
    </xf>
    <xf numFmtId="0" fontId="20" fillId="0" borderId="39" xfId="0" applyFont="1" applyBorder="1"/>
    <xf numFmtId="165" fontId="17" fillId="0" borderId="30" xfId="0" applyNumberFormat="1" applyFont="1" applyBorder="1" applyAlignment="1">
      <alignment horizontal="center"/>
    </xf>
    <xf numFmtId="0" fontId="17" fillId="0" borderId="14" xfId="0" applyFont="1" applyBorder="1"/>
    <xf numFmtId="0" fontId="20" fillId="0" borderId="40" xfId="0" applyFont="1" applyBorder="1"/>
    <xf numFmtId="165" fontId="20" fillId="2" borderId="15" xfId="0" applyNumberFormat="1" applyFont="1" applyFill="1" applyBorder="1" applyAlignment="1">
      <alignment horizontal="center"/>
    </xf>
    <xf numFmtId="165" fontId="17" fillId="0" borderId="31" xfId="0" applyNumberFormat="1" applyFont="1" applyBorder="1" applyAlignment="1">
      <alignment horizontal="center"/>
    </xf>
    <xf numFmtId="0" fontId="17" fillId="0" borderId="32" xfId="0" applyFont="1" applyBorder="1"/>
    <xf numFmtId="165" fontId="17" fillId="0" borderId="33" xfId="0" applyNumberFormat="1" applyFont="1" applyBorder="1" applyAlignment="1">
      <alignment horizontal="center"/>
    </xf>
    <xf numFmtId="0" fontId="20" fillId="0" borderId="41" xfId="0" applyFont="1" applyBorder="1"/>
    <xf numFmtId="165" fontId="20" fillId="2" borderId="19" xfId="0" applyNumberFormat="1" applyFont="1" applyFill="1" applyBorder="1" applyAlignment="1">
      <alignment horizontal="center"/>
    </xf>
    <xf numFmtId="165" fontId="17" fillId="0" borderId="34" xfId="0" applyNumberFormat="1" applyFont="1" applyBorder="1" applyAlignment="1">
      <alignment horizontal="center"/>
    </xf>
    <xf numFmtId="165" fontId="16" fillId="2" borderId="8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5" fontId="16" fillId="2" borderId="10" xfId="0" applyNumberFormat="1" applyFont="1" applyFill="1" applyBorder="1" applyAlignment="1">
      <alignment horizontal="center"/>
    </xf>
    <xf numFmtId="0" fontId="16" fillId="2" borderId="26" xfId="0" applyFont="1" applyFill="1" applyBorder="1"/>
    <xf numFmtId="165" fontId="16" fillId="2" borderId="4" xfId="0" applyNumberFormat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10" fillId="3" borderId="36" xfId="0" applyFont="1" applyFill="1" applyBorder="1" applyAlignment="1">
      <alignment horizontal="center" vertical="center"/>
    </xf>
    <xf numFmtId="0" fontId="10" fillId="3" borderId="0" xfId="0" applyFont="1" applyFill="1"/>
    <xf numFmtId="4" fontId="10" fillId="3" borderId="0" xfId="1" applyNumberFormat="1" applyFont="1" applyFill="1" applyBorder="1" applyAlignment="1">
      <alignment horizontal="right"/>
    </xf>
    <xf numFmtId="0" fontId="10" fillId="3" borderId="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4" fontId="13" fillId="4" borderId="6" xfId="1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7" fillId="0" borderId="7" xfId="0" applyFont="1" applyBorder="1"/>
    <xf numFmtId="2" fontId="17" fillId="0" borderId="8" xfId="1" applyNumberFormat="1" applyFont="1" applyBorder="1" applyAlignment="1">
      <alignment horizontal="center"/>
    </xf>
    <xf numFmtId="2" fontId="17" fillId="0" borderId="9" xfId="0" applyNumberFormat="1" applyFont="1" applyBorder="1" applyAlignment="1">
      <alignment horizontal="center"/>
    </xf>
    <xf numFmtId="2" fontId="17" fillId="0" borderId="8" xfId="0" applyNumberFormat="1" applyFont="1" applyBorder="1" applyAlignment="1">
      <alignment horizontal="center"/>
    </xf>
    <xf numFmtId="2" fontId="16" fillId="0" borderId="10" xfId="1" applyNumberFormat="1" applyFont="1" applyBorder="1" applyAlignment="1">
      <alignment horizontal="right"/>
    </xf>
    <xf numFmtId="0" fontId="20" fillId="0" borderId="27" xfId="0" applyFont="1" applyBorder="1"/>
    <xf numFmtId="4" fontId="20" fillId="0" borderId="17" xfId="0" applyNumberFormat="1" applyFont="1" applyBorder="1" applyAlignment="1">
      <alignment horizontal="center"/>
    </xf>
    <xf numFmtId="2" fontId="17" fillId="0" borderId="28" xfId="1" applyNumberFormat="1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2" fontId="17" fillId="0" borderId="28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right"/>
    </xf>
    <xf numFmtId="0" fontId="20" fillId="0" borderId="14" xfId="0" applyFont="1" applyBorder="1"/>
    <xf numFmtId="4" fontId="20" fillId="0" borderId="16" xfId="0" applyNumberFormat="1" applyFont="1" applyBorder="1" applyAlignment="1">
      <alignment horizontal="center"/>
    </xf>
    <xf numFmtId="2" fontId="17" fillId="0" borderId="33" xfId="1" applyNumberFormat="1" applyFont="1" applyBorder="1" applyAlignment="1">
      <alignment horizontal="center"/>
    </xf>
    <xf numFmtId="2" fontId="17" fillId="0" borderId="33" xfId="0" applyNumberFormat="1" applyFont="1" applyBorder="1" applyAlignment="1">
      <alignment horizontal="center"/>
    </xf>
    <xf numFmtId="2" fontId="16" fillId="0" borderId="35" xfId="0" applyNumberFormat="1" applyFont="1" applyBorder="1" applyAlignment="1">
      <alignment horizontal="right"/>
    </xf>
    <xf numFmtId="0" fontId="20" fillId="0" borderId="32" xfId="0" applyFont="1" applyBorder="1"/>
    <xf numFmtId="4" fontId="20" fillId="0" borderId="42" xfId="0" applyNumberFormat="1" applyFont="1" applyBorder="1" applyAlignment="1">
      <alignment horizontal="center"/>
    </xf>
    <xf numFmtId="2" fontId="16" fillId="2" borderId="8" xfId="1" applyNumberFormat="1" applyFont="1" applyFill="1" applyBorder="1" applyAlignment="1">
      <alignment horizontal="center"/>
    </xf>
    <xf numFmtId="2" fontId="16" fillId="2" borderId="9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2" fontId="16" fillId="2" borderId="4" xfId="0" applyNumberFormat="1" applyFont="1" applyFill="1" applyBorder="1" applyAlignment="1">
      <alignment horizontal="right"/>
    </xf>
    <xf numFmtId="0" fontId="17" fillId="0" borderId="0" xfId="0" applyFont="1"/>
    <xf numFmtId="0" fontId="18" fillId="2" borderId="0" xfId="0" applyFont="1" applyFill="1"/>
    <xf numFmtId="4" fontId="16" fillId="2" borderId="8" xfId="0" applyNumberFormat="1" applyFont="1" applyFill="1" applyBorder="1" applyAlignment="1">
      <alignment horizontal="center"/>
    </xf>
    <xf numFmtId="4" fontId="16" fillId="2" borderId="9" xfId="0" applyNumberFormat="1" applyFont="1" applyFill="1" applyBorder="1" applyAlignment="1">
      <alignment horizontal="center"/>
    </xf>
    <xf numFmtId="4" fontId="16" fillId="2" borderId="36" xfId="0" applyNumberFormat="1" applyFont="1" applyFill="1" applyBorder="1" applyAlignment="1">
      <alignment horizontal="center"/>
    </xf>
    <xf numFmtId="4" fontId="16" fillId="2" borderId="4" xfId="0" applyNumberFormat="1" applyFont="1" applyFill="1" applyBorder="1" applyAlignment="1">
      <alignment horizontal="center"/>
    </xf>
    <xf numFmtId="0" fontId="16" fillId="2" borderId="0" xfId="0" applyFont="1" applyFill="1" applyBorder="1"/>
    <xf numFmtId="2" fontId="16" fillId="2" borderId="0" xfId="1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right"/>
    </xf>
    <xf numFmtId="4" fontId="16" fillId="2" borderId="0" xfId="0" applyNumberFormat="1" applyFont="1" applyFill="1" applyBorder="1" applyAlignment="1">
      <alignment horizontal="center"/>
    </xf>
    <xf numFmtId="49" fontId="34" fillId="2" borderId="0" xfId="0" applyNumberFormat="1" applyFont="1" applyFill="1" applyBorder="1" applyAlignment="1">
      <alignment vertical="center" wrapText="1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4" fillId="2" borderId="0" xfId="0" applyFont="1" applyFill="1"/>
    <xf numFmtId="0" fontId="35" fillId="2" borderId="0" xfId="0" applyFont="1" applyFill="1" applyBorder="1" applyAlignment="1"/>
    <xf numFmtId="0" fontId="24" fillId="0" borderId="0" xfId="0" applyFont="1"/>
    <xf numFmtId="0" fontId="0" fillId="2" borderId="0" xfId="0" applyFill="1" applyAlignment="1">
      <alignment horizontal="center"/>
    </xf>
    <xf numFmtId="0" fontId="27" fillId="2" borderId="0" xfId="0" applyFont="1" applyFill="1"/>
    <xf numFmtId="0" fontId="2" fillId="2" borderId="0" xfId="0" applyFont="1" applyFill="1" applyBorder="1" applyAlignment="1"/>
    <xf numFmtId="0" fontId="0" fillId="0" borderId="0" xfId="0" applyAlignment="1"/>
    <xf numFmtId="49" fontId="34" fillId="0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justify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913138</xdr:colOff>
      <xdr:row>2</xdr:row>
      <xdr:rowOff>66453</xdr:rowOff>
    </xdr:from>
    <xdr:to>
      <xdr:col>83</xdr:col>
      <xdr:colOff>254739</xdr:colOff>
      <xdr:row>6</xdr:row>
      <xdr:rowOff>165792</xdr:rowOff>
    </xdr:to>
    <xdr:pic>
      <xdr:nvPicPr>
        <xdr:cNvPr id="2" name="Imagen 1" descr="C:\Users\ihss\Documents\Memorando Papel Membretado legal oficial.pn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9" t="973" r="6170" b="89175"/>
        <a:stretch/>
      </xdr:blipFill>
      <xdr:spPr bwMode="auto">
        <a:xfrm>
          <a:off x="3561088" y="447453"/>
          <a:ext cx="4980401" cy="8613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43</xdr:col>
      <xdr:colOff>44301</xdr:colOff>
      <xdr:row>29</xdr:row>
      <xdr:rowOff>210436</xdr:rowOff>
    </xdr:from>
    <xdr:to>
      <xdr:col>82</xdr:col>
      <xdr:colOff>742064</xdr:colOff>
      <xdr:row>33</xdr:row>
      <xdr:rowOff>199361</xdr:rowOff>
    </xdr:to>
    <xdr:pic>
      <xdr:nvPicPr>
        <xdr:cNvPr id="3" name="Imagen 2" descr="C:\Users\ihss\Documents\Memorando Papel Membretado legal oficial.pn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9" t="973" r="6170" b="89175"/>
        <a:stretch/>
      </xdr:blipFill>
      <xdr:spPr bwMode="auto">
        <a:xfrm>
          <a:off x="2692251" y="9087736"/>
          <a:ext cx="5012588" cy="998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644"/>
  <sheetViews>
    <sheetView tabSelected="1" topLeftCell="AO1" zoomScale="86" zoomScaleNormal="86" zoomScalePageLayoutView="80" workbookViewId="0">
      <selection activeCell="AS26" sqref="AS26"/>
    </sheetView>
  </sheetViews>
  <sheetFormatPr baseColWidth="10" defaultRowHeight="15" x14ac:dyDescent="0.25"/>
  <cols>
    <col min="1" max="40" width="0" hidden="1" customWidth="1"/>
    <col min="41" max="41" width="20.42578125" customWidth="1"/>
    <col min="42" max="42" width="19.28515625" customWidth="1"/>
    <col min="43" max="43" width="0" hidden="1" customWidth="1"/>
    <col min="44" max="44" width="20.85546875" customWidth="1"/>
    <col min="45" max="45" width="21.85546875" customWidth="1"/>
    <col min="46" max="80" width="0" hidden="1" customWidth="1"/>
    <col min="81" max="81" width="8.85546875" hidden="1" customWidth="1"/>
    <col min="82" max="82" width="22" customWidth="1"/>
    <col min="83" max="83" width="19.85546875" customWidth="1"/>
    <col min="84" max="84" width="18.85546875" customWidth="1"/>
    <col min="85" max="85" width="14.140625" bestFit="1" customWidth="1"/>
    <col min="89" max="89" width="11.42578125" style="2"/>
    <col min="90" max="90" width="15.28515625" style="2" bestFit="1" customWidth="1"/>
    <col min="91" max="211" width="11.42578125" style="2"/>
    <col min="212" max="16384" width="11.42578125" style="228"/>
  </cols>
  <sheetData>
    <row r="1" spans="1:8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1:8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1:8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88" ht="60" customHeight="1" x14ac:dyDescent="0.25">
      <c r="A7" s="236" t="s">
        <v>0</v>
      </c>
      <c r="B7" s="236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7" t="s">
        <v>1</v>
      </c>
      <c r="AP7" s="237"/>
      <c r="AQ7" s="237"/>
      <c r="AR7" s="237"/>
      <c r="AS7" s="237"/>
      <c r="AT7" s="237"/>
      <c r="AU7" s="237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37"/>
      <c r="BG7" s="237"/>
      <c r="BH7" s="237"/>
      <c r="BI7" s="237"/>
      <c r="BJ7" s="237"/>
      <c r="BK7" s="237"/>
      <c r="BL7" s="237"/>
      <c r="BM7" s="237"/>
      <c r="BN7" s="237"/>
      <c r="BO7" s="237"/>
      <c r="BP7" s="237"/>
      <c r="BQ7" s="237"/>
      <c r="BR7" s="237"/>
      <c r="BS7" s="237"/>
      <c r="BT7" s="237"/>
      <c r="BU7" s="237"/>
      <c r="BV7" s="237"/>
      <c r="BW7" s="237"/>
      <c r="BX7" s="237"/>
      <c r="BY7" s="237"/>
      <c r="BZ7" s="237"/>
      <c r="CA7" s="237"/>
      <c r="CB7" s="237"/>
      <c r="CC7" s="237"/>
      <c r="CD7" s="237"/>
      <c r="CE7" s="237"/>
      <c r="CF7" s="237"/>
      <c r="CG7" s="237"/>
      <c r="CH7" s="237"/>
      <c r="CI7" s="237"/>
      <c r="CJ7" s="237"/>
    </row>
    <row r="8" spans="1:88" ht="54.75" customHeight="1" x14ac:dyDescent="0.4">
      <c r="A8" s="235" t="s">
        <v>2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3"/>
      <c r="AP8" s="4"/>
      <c r="AQ8" s="5"/>
      <c r="AR8" s="234" t="s">
        <v>3</v>
      </c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4"/>
      <c r="CG8" s="6"/>
      <c r="CH8" s="7"/>
      <c r="CI8" s="4"/>
      <c r="CJ8" s="4"/>
    </row>
    <row r="9" spans="1:88" ht="27.75" thickBot="1" x14ac:dyDescent="0.45">
      <c r="A9" s="238" t="s">
        <v>4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N9" s="238"/>
      <c r="AO9" s="8"/>
      <c r="AP9" s="4"/>
      <c r="AQ9" s="9"/>
      <c r="AR9" s="234" t="s">
        <v>5</v>
      </c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10"/>
      <c r="CH9" s="7"/>
      <c r="CI9" s="4"/>
      <c r="CJ9" s="4"/>
    </row>
    <row r="10" spans="1:88" ht="27" thickBot="1" x14ac:dyDescent="0.45">
      <c r="A10" s="11" t="s">
        <v>6</v>
      </c>
      <c r="B10" s="12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4"/>
      <c r="AK10" s="13"/>
      <c r="AL10" s="15" t="s">
        <v>8</v>
      </c>
      <c r="AM10" s="15" t="s">
        <v>9</v>
      </c>
      <c r="AN10" s="16" t="s">
        <v>10</v>
      </c>
      <c r="AO10" s="17"/>
      <c r="AP10" s="18"/>
      <c r="AQ10" s="18"/>
      <c r="AR10" s="19" t="s">
        <v>6</v>
      </c>
      <c r="AS10" s="20" t="s">
        <v>11</v>
      </c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2"/>
      <c r="CB10" s="21"/>
      <c r="CC10" s="21"/>
      <c r="CD10" s="20" t="s">
        <v>12</v>
      </c>
      <c r="CE10" s="20" t="s">
        <v>13</v>
      </c>
      <c r="CF10" s="23" t="s">
        <v>10</v>
      </c>
      <c r="CG10" s="18"/>
      <c r="CH10" s="18"/>
      <c r="CI10" s="18"/>
      <c r="CJ10" s="18"/>
    </row>
    <row r="11" spans="1:88" ht="21.75" thickBot="1" x14ac:dyDescent="0.3">
      <c r="A11" s="24" t="s">
        <v>14</v>
      </c>
      <c r="B11" s="25">
        <v>8882.2999999999993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7"/>
      <c r="AK11" s="26"/>
      <c r="AL11" s="28">
        <v>7350</v>
      </c>
      <c r="AM11" s="28">
        <v>7350</v>
      </c>
      <c r="AN11" s="29" t="s">
        <v>15</v>
      </c>
      <c r="AO11" s="30"/>
      <c r="AP11" s="31"/>
      <c r="AQ11" s="31"/>
      <c r="AR11" s="32" t="s">
        <v>14</v>
      </c>
      <c r="AS11" s="33">
        <v>11903.13</v>
      </c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5"/>
      <c r="CB11" s="34"/>
      <c r="CC11" s="34"/>
      <c r="CD11" s="33">
        <v>11903.13</v>
      </c>
      <c r="CE11" s="33">
        <v>11903.13</v>
      </c>
      <c r="CF11" s="36" t="s">
        <v>15</v>
      </c>
      <c r="CG11" s="1"/>
      <c r="CH11" s="1"/>
      <c r="CI11" s="1"/>
      <c r="CJ11" s="1"/>
    </row>
    <row r="12" spans="1:88" ht="21" x14ac:dyDescent="0.35">
      <c r="A12" s="37" t="s">
        <v>16</v>
      </c>
      <c r="B12" s="38">
        <v>5.0000000000000001E-3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8">
        <v>5.0000000000000001E-3</v>
      </c>
      <c r="AM12" s="38">
        <v>0</v>
      </c>
      <c r="AN12" s="40">
        <f>SUM(B12:AM12)</f>
        <v>0.01</v>
      </c>
      <c r="AO12" s="41"/>
      <c r="AP12" s="42"/>
      <c r="AQ12" s="42"/>
      <c r="AR12" s="43" t="s">
        <v>16</v>
      </c>
      <c r="AS12" s="44">
        <v>5.0000000000000001E-3</v>
      </c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4">
        <v>5.0000000000000001E-3</v>
      </c>
      <c r="CE12" s="44">
        <v>0</v>
      </c>
      <c r="CF12" s="46">
        <f>+CC12+CD12+CE12+AS12</f>
        <v>0.01</v>
      </c>
      <c r="CG12" s="1"/>
      <c r="CH12" s="1"/>
      <c r="CI12" s="1"/>
      <c r="CJ12" s="1"/>
    </row>
    <row r="13" spans="1:88" ht="21" x14ac:dyDescent="0.35">
      <c r="A13" s="47" t="s">
        <v>17</v>
      </c>
      <c r="B13" s="48">
        <v>0.01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8">
        <v>2.5000000000000001E-2</v>
      </c>
      <c r="AM13" s="48">
        <v>0</v>
      </c>
      <c r="AN13" s="50">
        <f>SUM(B13:AM13)</f>
        <v>3.5000000000000003E-2</v>
      </c>
      <c r="AO13" s="41"/>
      <c r="AP13" s="42"/>
      <c r="AQ13" s="42"/>
      <c r="AR13" s="51" t="s">
        <v>17</v>
      </c>
      <c r="AS13" s="52">
        <v>2.5000000000000001E-2</v>
      </c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4">
        <v>2.5000000000000001E-2</v>
      </c>
      <c r="CE13" s="54">
        <v>0</v>
      </c>
      <c r="CF13" s="55">
        <f>+CC13+CD13+CE13+AS13</f>
        <v>0.05</v>
      </c>
      <c r="CG13" s="1"/>
      <c r="CH13" s="56"/>
      <c r="CI13" s="1"/>
      <c r="CJ13" s="1"/>
    </row>
    <row r="14" spans="1:88" ht="21.75" thickBot="1" x14ac:dyDescent="0.4">
      <c r="A14" s="57" t="s">
        <v>18</v>
      </c>
      <c r="B14" s="58">
        <v>0.02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8">
        <v>0.05</v>
      </c>
      <c r="AM14" s="58">
        <v>2E-3</v>
      </c>
      <c r="AN14" s="60">
        <f>SUM(B14:AM14)</f>
        <v>7.2000000000000008E-2</v>
      </c>
      <c r="AO14" s="41"/>
      <c r="AP14" s="42"/>
      <c r="AQ14" s="42"/>
      <c r="AR14" s="61" t="s">
        <v>18</v>
      </c>
      <c r="AS14" s="62">
        <v>3.5000000000000003E-2</v>
      </c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4">
        <v>0.05</v>
      </c>
      <c r="CE14" s="64">
        <v>2E-3</v>
      </c>
      <c r="CF14" s="65">
        <f>+CC14+CD14+CE14+AS14</f>
        <v>8.7000000000000008E-2</v>
      </c>
      <c r="CG14" s="1"/>
      <c r="CH14" s="56"/>
      <c r="CI14" s="1"/>
      <c r="CJ14" s="1"/>
    </row>
    <row r="15" spans="1:88" ht="21.75" thickBot="1" x14ac:dyDescent="0.4">
      <c r="A15" s="66" t="s">
        <v>19</v>
      </c>
      <c r="B15" s="67">
        <f>SUM(B12:B14)</f>
        <v>3.5000000000000003E-2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7">
        <f>SUM(AL12:AL14)</f>
        <v>0.08</v>
      </c>
      <c r="AM15" s="67">
        <f>SUM(AM12:AM14)</f>
        <v>2E-3</v>
      </c>
      <c r="AN15" s="69">
        <f>SUM(B15:AM15)</f>
        <v>0.11700000000000001</v>
      </c>
      <c r="AO15" s="70"/>
      <c r="AP15" s="42"/>
      <c r="AQ15" s="42"/>
      <c r="AR15" s="71" t="s">
        <v>19</v>
      </c>
      <c r="AS15" s="72">
        <f>SUM(AS12:AS14)</f>
        <v>6.5000000000000002E-2</v>
      </c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2">
        <f>SUM(CD12:CD14)</f>
        <v>0.08</v>
      </c>
      <c r="CE15" s="72">
        <f>SUM(CE12:CE14)</f>
        <v>2E-3</v>
      </c>
      <c r="CF15" s="74">
        <f>SUM(CF12:CF14)</f>
        <v>0.14700000000000002</v>
      </c>
      <c r="CG15" s="1"/>
      <c r="CH15" s="56"/>
      <c r="CI15" s="1"/>
      <c r="CJ15" s="1"/>
    </row>
    <row r="16" spans="1:88" ht="21.75" thickBot="1" x14ac:dyDescent="0.3">
      <c r="A16" s="239" t="s">
        <v>20</v>
      </c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75"/>
      <c r="AP16" s="1"/>
      <c r="AQ16" s="1"/>
      <c r="AR16" s="240" t="s">
        <v>21</v>
      </c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240"/>
      <c r="BG16" s="240"/>
      <c r="BH16" s="240"/>
      <c r="BI16" s="240"/>
      <c r="BJ16" s="240"/>
      <c r="BK16" s="240"/>
      <c r="BL16" s="240"/>
      <c r="BM16" s="240"/>
      <c r="BN16" s="240"/>
      <c r="BO16" s="240"/>
      <c r="BP16" s="240"/>
      <c r="BQ16" s="240"/>
      <c r="BR16" s="240"/>
      <c r="BS16" s="240"/>
      <c r="BT16" s="240"/>
      <c r="BU16" s="240"/>
      <c r="BV16" s="240"/>
      <c r="BW16" s="240"/>
      <c r="BX16" s="240"/>
      <c r="BY16" s="240"/>
      <c r="BZ16" s="240"/>
      <c r="CA16" s="240"/>
      <c r="CB16" s="240"/>
      <c r="CC16" s="240"/>
      <c r="CD16" s="240"/>
      <c r="CE16" s="240"/>
      <c r="CF16" s="240"/>
      <c r="CG16" s="76"/>
      <c r="CH16" s="56"/>
      <c r="CI16" s="1"/>
      <c r="CJ16" s="1"/>
    </row>
    <row r="17" spans="1:88" ht="32.25" thickBot="1" x14ac:dyDescent="0.3">
      <c r="A17" s="77" t="s">
        <v>22</v>
      </c>
      <c r="B17" s="12" t="s">
        <v>7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9"/>
      <c r="AK17" s="78"/>
      <c r="AL17" s="15" t="s">
        <v>8</v>
      </c>
      <c r="AM17" s="15" t="s">
        <v>9</v>
      </c>
      <c r="AN17" s="80" t="s">
        <v>23</v>
      </c>
      <c r="AO17" s="81"/>
      <c r="AP17" s="82"/>
      <c r="AQ17" s="82"/>
      <c r="AR17" s="83" t="s">
        <v>6</v>
      </c>
      <c r="AS17" s="20" t="s">
        <v>11</v>
      </c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2"/>
      <c r="CB17" s="21"/>
      <c r="CC17" s="21"/>
      <c r="CD17" s="20" t="s">
        <v>12</v>
      </c>
      <c r="CE17" s="20" t="s">
        <v>13</v>
      </c>
      <c r="CF17" s="84" t="s">
        <v>23</v>
      </c>
      <c r="CG17" s="85"/>
      <c r="CH17" s="1"/>
      <c r="CI17" s="1"/>
      <c r="CJ17" s="1"/>
    </row>
    <row r="18" spans="1:88" ht="18.75" x14ac:dyDescent="0.3">
      <c r="A18" s="86" t="s">
        <v>16</v>
      </c>
      <c r="B18" s="87">
        <v>35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9">
        <f>SUM(AL11*AL12)</f>
        <v>36.75</v>
      </c>
      <c r="AM18" s="90">
        <f>SUM(AB11*AB12)</f>
        <v>0</v>
      </c>
      <c r="AN18" s="91">
        <f>SUM(B18+AL18)</f>
        <v>71.75</v>
      </c>
      <c r="AO18" s="92"/>
      <c r="AP18" s="93"/>
      <c r="AQ18" s="93"/>
      <c r="AR18" s="94" t="s">
        <v>16</v>
      </c>
      <c r="AS18" s="95">
        <f>SUM(AS11*AS12)</f>
        <v>59.515649999999994</v>
      </c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5">
        <f>SUM(CD11*CD12)</f>
        <v>59.515649999999994</v>
      </c>
      <c r="CE18" s="95">
        <f>SUM(CE11*CE12)</f>
        <v>0</v>
      </c>
      <c r="CF18" s="97">
        <f>SUM(AS18+CD18+CE18)</f>
        <v>119.03129999999999</v>
      </c>
      <c r="CG18" s="98"/>
      <c r="CH18" s="99"/>
      <c r="CI18" s="1"/>
      <c r="CJ18" s="1"/>
    </row>
    <row r="19" spans="1:88" ht="18.75" x14ac:dyDescent="0.3">
      <c r="A19" s="100" t="s">
        <v>17</v>
      </c>
      <c r="B19" s="101">
        <f>SUM(B11*B13)</f>
        <v>88.822999999999993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102">
        <f>SUM(AL11*AL13)</f>
        <v>183.75</v>
      </c>
      <c r="AM19" s="90">
        <f>SUM(AB11*AB13)</f>
        <v>0</v>
      </c>
      <c r="AN19" s="103">
        <f>SUM(B19:AM19)</f>
        <v>272.57299999999998</v>
      </c>
      <c r="AO19" s="92"/>
      <c r="AP19" s="93"/>
      <c r="AQ19" s="93"/>
      <c r="AR19" s="104" t="s">
        <v>17</v>
      </c>
      <c r="AS19" s="105">
        <f>SUM(AS11*AS13)</f>
        <v>297.57824999999997</v>
      </c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106">
        <f>SUM(CD11*CD13)</f>
        <v>297.57824999999997</v>
      </c>
      <c r="CE19" s="106">
        <f>SUM(CE11*CE13)</f>
        <v>0</v>
      </c>
      <c r="CF19" s="97">
        <f>SUM(AS19+CD19+CE19)</f>
        <v>595.15649999999994</v>
      </c>
      <c r="CG19" s="98"/>
      <c r="CH19" s="1"/>
      <c r="CI19" s="1"/>
      <c r="CJ19" s="1"/>
    </row>
    <row r="20" spans="1:88" ht="19.5" thickBot="1" x14ac:dyDescent="0.35">
      <c r="A20" s="107" t="s">
        <v>18</v>
      </c>
      <c r="B20" s="108">
        <f>SUM(B11*B14)</f>
        <v>177.64599999999999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109">
        <f>SUM(AL11*AL14)</f>
        <v>367.5</v>
      </c>
      <c r="AM20" s="90">
        <f>SUM(AM11*AM14)</f>
        <v>14.700000000000001</v>
      </c>
      <c r="AN20" s="110">
        <f>SUM(B20:AM20)</f>
        <v>559.846</v>
      </c>
      <c r="AO20" s="92"/>
      <c r="AP20" s="93"/>
      <c r="AQ20" s="93"/>
      <c r="AR20" s="111" t="s">
        <v>18</v>
      </c>
      <c r="AS20" s="112">
        <f>SUM(AS11*AS14)</f>
        <v>416.60955000000001</v>
      </c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113">
        <f>SUM(CD11*CD14)</f>
        <v>595.15649999999994</v>
      </c>
      <c r="CE20" s="113">
        <f>SUM(CE11*CE14)</f>
        <v>23.806259999999998</v>
      </c>
      <c r="CF20" s="114">
        <f>SUM(AS20+CD20+CE20)</f>
        <v>1035.57231</v>
      </c>
      <c r="CG20" s="98"/>
      <c r="CH20" s="1"/>
      <c r="CI20" s="1"/>
      <c r="CJ20" s="1"/>
    </row>
    <row r="21" spans="1:88" ht="21.75" thickBot="1" x14ac:dyDescent="0.4">
      <c r="A21" s="115" t="s">
        <v>19</v>
      </c>
      <c r="B21" s="116">
        <f>SUM(B18:B20)</f>
        <v>301.46899999999999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6">
        <f>SUM(AL18:AL20)</f>
        <v>588</v>
      </c>
      <c r="AM21" s="118">
        <f>SUM(AM18:AM20)</f>
        <v>14.700000000000001</v>
      </c>
      <c r="AN21" s="119">
        <f>SUM(AN18:AN20)</f>
        <v>904.16899999999998</v>
      </c>
      <c r="AO21" s="120"/>
      <c r="AP21" s="42"/>
      <c r="AQ21" s="42"/>
      <c r="AR21" s="115" t="s">
        <v>24</v>
      </c>
      <c r="AS21" s="121">
        <f>SUM(AS20+AS19+AS18)</f>
        <v>773.70344999999998</v>
      </c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1">
        <f>SUM(CD18:CD20)</f>
        <v>952.2503999999999</v>
      </c>
      <c r="CE21" s="121">
        <f>SUM(CE18:CE20)</f>
        <v>23.806259999999998</v>
      </c>
      <c r="CF21" s="123">
        <f>SUM(CF18:CF20)</f>
        <v>1749.7601099999999</v>
      </c>
      <c r="CG21" s="124"/>
      <c r="CH21" s="125"/>
      <c r="CI21" s="125"/>
      <c r="CJ21" s="125"/>
    </row>
    <row r="22" spans="1:88" ht="23.25" x14ac:dyDescent="0.35">
      <c r="A22" s="126"/>
      <c r="B22" s="127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7"/>
      <c r="AM22" s="127"/>
      <c r="AN22" s="128"/>
      <c r="AO22" s="128"/>
      <c r="AP22" s="126"/>
      <c r="AQ22" s="128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9"/>
      <c r="CH22" s="126"/>
      <c r="CI22" s="130"/>
      <c r="CJ22" s="130"/>
    </row>
    <row r="23" spans="1:88" x14ac:dyDescent="0.25">
      <c r="A23" s="237" t="s">
        <v>25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7"/>
      <c r="BK23" s="237"/>
      <c r="BL23" s="237"/>
      <c r="BM23" s="237"/>
      <c r="BN23" s="237"/>
      <c r="BO23" s="237"/>
      <c r="BP23" s="237"/>
      <c r="BQ23" s="237"/>
      <c r="BR23" s="237"/>
      <c r="BS23" s="237"/>
      <c r="BT23" s="237"/>
      <c r="BU23" s="237"/>
      <c r="BV23" s="237"/>
      <c r="BW23" s="237"/>
      <c r="BX23" s="237"/>
      <c r="BY23" s="237"/>
      <c r="BZ23" s="237"/>
      <c r="CA23" s="237"/>
      <c r="CB23" s="237"/>
      <c r="CC23" s="237"/>
      <c r="CD23" s="237"/>
      <c r="CE23" s="237"/>
      <c r="CF23" s="237"/>
      <c r="CG23" s="237"/>
      <c r="CH23" s="237"/>
      <c r="CI23" s="237"/>
      <c r="CJ23" s="237"/>
    </row>
    <row r="24" spans="1:88" ht="67.5" customHeight="1" x14ac:dyDescent="0.25">
      <c r="A24" s="237"/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7"/>
      <c r="BK24" s="237"/>
      <c r="BL24" s="237"/>
      <c r="BM24" s="237"/>
      <c r="BN24" s="237"/>
      <c r="BO24" s="237"/>
      <c r="BP24" s="237"/>
      <c r="BQ24" s="237"/>
      <c r="BR24" s="237"/>
      <c r="BS24" s="237"/>
      <c r="BT24" s="237"/>
      <c r="BU24" s="237"/>
      <c r="BV24" s="237"/>
      <c r="BW24" s="237"/>
      <c r="BX24" s="237"/>
      <c r="BY24" s="237"/>
      <c r="BZ24" s="237"/>
      <c r="CA24" s="237"/>
      <c r="CB24" s="237"/>
      <c r="CC24" s="237"/>
      <c r="CD24" s="237"/>
      <c r="CE24" s="237"/>
      <c r="CF24" s="237"/>
      <c r="CG24" s="237"/>
      <c r="CH24" s="237"/>
      <c r="CI24" s="237"/>
      <c r="CJ24" s="237"/>
    </row>
    <row r="25" spans="1:88" ht="18.75" x14ac:dyDescent="0.25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</row>
    <row r="26" spans="1:88" ht="18.75" x14ac:dyDescent="0.25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</row>
    <row r="27" spans="1:88" ht="18.75" x14ac:dyDescent="0.25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</row>
    <row r="28" spans="1:88" ht="18.75" x14ac:dyDescent="0.25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</row>
    <row r="29" spans="1:88" ht="18.75" x14ac:dyDescent="0.25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</row>
    <row r="30" spans="1:88" ht="18.75" x14ac:dyDescent="0.25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</row>
    <row r="31" spans="1:88" ht="18.75" x14ac:dyDescent="0.25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</row>
    <row r="32" spans="1:88" ht="18.75" x14ac:dyDescent="0.25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</row>
    <row r="33" spans="1:88" ht="23.25" x14ac:dyDescent="0.35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3"/>
      <c r="CH33" s="134"/>
      <c r="CI33" s="1"/>
      <c r="CJ33" s="1"/>
    </row>
    <row r="34" spans="1:88" ht="57" customHeight="1" x14ac:dyDescent="0.25">
      <c r="A34" s="241" t="s">
        <v>26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37" t="s">
        <v>27</v>
      </c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</row>
    <row r="35" spans="1:88" ht="23.25" x14ac:dyDescent="0.25">
      <c r="A35" s="233" t="s">
        <v>28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3"/>
      <c r="AP35" s="130"/>
      <c r="AQ35" s="234" t="s">
        <v>29</v>
      </c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  <c r="BW35" s="234"/>
      <c r="BX35" s="234"/>
      <c r="BY35" s="234"/>
      <c r="BZ35" s="234"/>
      <c r="CA35" s="234"/>
      <c r="CB35" s="234"/>
      <c r="CC35" s="234"/>
      <c r="CD35" s="234"/>
      <c r="CE35" s="234"/>
      <c r="CF35" s="234"/>
      <c r="CG35" s="135"/>
      <c r="CH35" s="135"/>
      <c r="CI35" s="130"/>
      <c r="CJ35" s="130"/>
    </row>
    <row r="36" spans="1:88" ht="35.25" customHeight="1" thickBot="1" x14ac:dyDescent="0.3">
      <c r="A36" s="235" t="s">
        <v>30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136"/>
      <c r="AO36" s="136"/>
      <c r="AP36" s="1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  <c r="BW36" s="234"/>
      <c r="BX36" s="234"/>
      <c r="BY36" s="234"/>
      <c r="BZ36" s="234"/>
      <c r="CA36" s="234"/>
      <c r="CB36" s="234"/>
      <c r="CC36" s="234"/>
      <c r="CD36" s="234"/>
      <c r="CE36" s="234"/>
      <c r="CF36" s="234"/>
      <c r="CG36" s="137"/>
      <c r="CH36" s="137"/>
      <c r="CI36" s="1"/>
      <c r="CJ36" s="1"/>
    </row>
    <row r="37" spans="1:88" ht="21.75" thickBot="1" x14ac:dyDescent="0.4">
      <c r="A37" s="11" t="s">
        <v>22</v>
      </c>
      <c r="B37" s="15" t="s">
        <v>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4"/>
      <c r="AK37" s="13"/>
      <c r="AL37" s="15" t="s">
        <v>31</v>
      </c>
      <c r="AM37" s="16" t="s">
        <v>10</v>
      </c>
      <c r="AN37" s="138"/>
      <c r="AO37" s="139"/>
      <c r="AP37" s="82"/>
      <c r="AQ37" s="140"/>
      <c r="AR37" s="141" t="s">
        <v>22</v>
      </c>
      <c r="AS37" s="20" t="s">
        <v>12</v>
      </c>
      <c r="AT37" s="20" t="s">
        <v>13</v>
      </c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3"/>
      <c r="CB37" s="142"/>
      <c r="CC37" s="142"/>
      <c r="CD37" s="144" t="s">
        <v>32</v>
      </c>
      <c r="CE37" s="145" t="s">
        <v>33</v>
      </c>
      <c r="CF37" s="146" t="s">
        <v>34</v>
      </c>
      <c r="CG37" s="147"/>
      <c r="CH37" s="147"/>
      <c r="CI37" s="1"/>
      <c r="CJ37" s="1"/>
    </row>
    <row r="38" spans="1:88" ht="21.75" thickBot="1" x14ac:dyDescent="0.4">
      <c r="A38" s="148" t="s">
        <v>14</v>
      </c>
      <c r="B38" s="149">
        <v>7350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49">
        <v>7350</v>
      </c>
      <c r="AM38" s="151" t="s">
        <v>35</v>
      </c>
      <c r="AN38" s="152"/>
      <c r="AO38" s="152"/>
      <c r="AP38" s="42"/>
      <c r="AQ38" s="42"/>
      <c r="AR38" s="153" t="s">
        <v>14</v>
      </c>
      <c r="AS38" s="33">
        <v>11903.13</v>
      </c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33">
        <v>11903.13</v>
      </c>
      <c r="CE38" s="155" t="s">
        <v>35</v>
      </c>
      <c r="CF38" s="229"/>
      <c r="CG38" s="134"/>
      <c r="CH38" s="134"/>
      <c r="CI38" s="1"/>
      <c r="CJ38" s="1"/>
    </row>
    <row r="39" spans="1:88" ht="21" x14ac:dyDescent="0.35">
      <c r="A39" s="156" t="s">
        <v>16</v>
      </c>
      <c r="B39" s="157">
        <v>5.0000000000000001E-3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7">
        <v>0</v>
      </c>
      <c r="AM39" s="159">
        <f>+B39+AL39</f>
        <v>5.0000000000000001E-3</v>
      </c>
      <c r="AN39" s="42"/>
      <c r="AO39" s="42"/>
      <c r="AP39" s="42"/>
      <c r="AQ39" s="42"/>
      <c r="AR39" s="160" t="s">
        <v>16</v>
      </c>
      <c r="AS39" s="44">
        <v>5.0000000000000001E-3</v>
      </c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4">
        <v>0</v>
      </c>
      <c r="CE39" s="161">
        <f>SUM(AS39:CD39)</f>
        <v>5.0000000000000001E-3</v>
      </c>
      <c r="CF39" s="229"/>
      <c r="CG39" s="134"/>
      <c r="CH39" s="134"/>
      <c r="CI39" s="1"/>
      <c r="CJ39" s="1"/>
    </row>
    <row r="40" spans="1:88" ht="21" x14ac:dyDescent="0.35">
      <c r="A40" s="162" t="s">
        <v>17</v>
      </c>
      <c r="B40" s="48">
        <v>2.5000000000000001E-2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48">
        <v>0</v>
      </c>
      <c r="AM40" s="159">
        <f>+AL40+B40</f>
        <v>2.5000000000000001E-2</v>
      </c>
      <c r="AN40" s="42"/>
      <c r="AO40" s="42"/>
      <c r="AP40" s="42"/>
      <c r="AQ40" s="42"/>
      <c r="AR40" s="163" t="s">
        <v>17</v>
      </c>
      <c r="AS40" s="164">
        <v>2.5000000000000001E-2</v>
      </c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4">
        <v>0</v>
      </c>
      <c r="CE40" s="165">
        <f>SUM(AS40:CD40)</f>
        <v>2.5000000000000001E-2</v>
      </c>
      <c r="CF40" s="229"/>
      <c r="CG40" s="134"/>
      <c r="CH40" s="134"/>
      <c r="CI40" s="1"/>
      <c r="CJ40" s="1"/>
    </row>
    <row r="41" spans="1:88" ht="21.75" thickBot="1" x14ac:dyDescent="0.4">
      <c r="A41" s="166" t="s">
        <v>18</v>
      </c>
      <c r="B41" s="167">
        <v>0.05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67">
        <v>2E-3</v>
      </c>
      <c r="AM41" s="159">
        <f>+AL41+B41</f>
        <v>5.2000000000000005E-2</v>
      </c>
      <c r="AN41" s="42"/>
      <c r="AO41" s="42"/>
      <c r="AP41" s="42"/>
      <c r="AQ41" s="42"/>
      <c r="AR41" s="168" t="s">
        <v>18</v>
      </c>
      <c r="AS41" s="169">
        <v>0.05</v>
      </c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4">
        <v>2E-3</v>
      </c>
      <c r="CE41" s="170">
        <f>SUM(AS41:CD41)</f>
        <v>5.2000000000000005E-2</v>
      </c>
      <c r="CF41" s="229"/>
      <c r="CG41" s="134"/>
      <c r="CH41" s="134"/>
      <c r="CI41" s="1"/>
      <c r="CJ41" s="1"/>
    </row>
    <row r="42" spans="1:88" ht="21.75" thickBot="1" x14ac:dyDescent="0.4">
      <c r="A42" s="148" t="s">
        <v>19</v>
      </c>
      <c r="B42" s="171">
        <f>SUM(B39:B41)</f>
        <v>0.08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1">
        <f>SUM(AL39:AL41)</f>
        <v>2E-3</v>
      </c>
      <c r="AM42" s="173">
        <f>+B42+AL42</f>
        <v>8.2000000000000003E-2</v>
      </c>
      <c r="AN42" s="42"/>
      <c r="AO42" s="42"/>
      <c r="AP42" s="42"/>
      <c r="AQ42" s="42"/>
      <c r="AR42" s="174" t="s">
        <v>19</v>
      </c>
      <c r="AS42" s="175">
        <f>SUM(AS39:AS41)</f>
        <v>0.08</v>
      </c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176"/>
      <c r="BT42" s="176"/>
      <c r="BU42" s="176"/>
      <c r="BV42" s="176"/>
      <c r="BW42" s="176"/>
      <c r="BX42" s="176"/>
      <c r="BY42" s="176"/>
      <c r="BZ42" s="176"/>
      <c r="CA42" s="176"/>
      <c r="CB42" s="176"/>
      <c r="CC42" s="176"/>
      <c r="CD42" s="175">
        <f>SUM(CD39:CD41)</f>
        <v>2E-3</v>
      </c>
      <c r="CE42" s="175">
        <f>SUM(AS42:CD42)</f>
        <v>8.2000000000000003E-2</v>
      </c>
      <c r="CF42" s="229"/>
      <c r="CG42" s="134"/>
      <c r="CH42" s="134"/>
      <c r="CI42" s="1"/>
      <c r="CJ42" s="1"/>
    </row>
    <row r="43" spans="1:88" ht="21.75" thickBot="1" x14ac:dyDescent="0.4">
      <c r="A43" s="230" t="s">
        <v>20</v>
      </c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42"/>
      <c r="AO43" s="42"/>
      <c r="AP43" s="42"/>
      <c r="AQ43" s="42"/>
      <c r="AR43" s="231" t="s">
        <v>21</v>
      </c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  <c r="BX43" s="231"/>
      <c r="BY43" s="231"/>
      <c r="BZ43" s="231"/>
      <c r="CA43" s="231"/>
      <c r="CB43" s="231"/>
      <c r="CC43" s="231"/>
      <c r="CD43" s="231"/>
      <c r="CE43" s="231"/>
      <c r="CF43" s="231"/>
      <c r="CG43" s="177"/>
      <c r="CH43" s="134"/>
      <c r="CI43" s="1"/>
      <c r="CJ43" s="1"/>
    </row>
    <row r="44" spans="1:88" ht="38.25" thickBot="1" x14ac:dyDescent="0.4">
      <c r="A44" s="178" t="s">
        <v>22</v>
      </c>
      <c r="B44" s="179" t="s">
        <v>36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1"/>
      <c r="AK44" s="180"/>
      <c r="AL44" s="182" t="s">
        <v>37</v>
      </c>
      <c r="AM44" s="80" t="s">
        <v>23</v>
      </c>
      <c r="AN44" s="42"/>
      <c r="AO44" s="42"/>
      <c r="AP44" s="42"/>
      <c r="AQ44" s="42"/>
      <c r="AR44" s="83" t="s">
        <v>22</v>
      </c>
      <c r="AS44" s="20" t="s">
        <v>12</v>
      </c>
      <c r="AT44" s="20" t="s">
        <v>13</v>
      </c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4"/>
      <c r="CB44" s="183"/>
      <c r="CC44" s="183"/>
      <c r="CD44" s="20" t="s">
        <v>32</v>
      </c>
      <c r="CE44" s="23" t="s">
        <v>23</v>
      </c>
      <c r="CF44" s="146" t="s">
        <v>34</v>
      </c>
      <c r="CG44" s="185"/>
      <c r="CH44" s="134"/>
      <c r="CI44" s="1"/>
      <c r="CJ44" s="1"/>
    </row>
    <row r="45" spans="1:88" ht="21.75" thickBot="1" x14ac:dyDescent="0.4">
      <c r="A45" s="186" t="s">
        <v>16</v>
      </c>
      <c r="B45" s="187">
        <f>SUM(B38*B39)</f>
        <v>36.75</v>
      </c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9">
        <f>SUM(AL38*AL39)</f>
        <v>0</v>
      </c>
      <c r="AM45" s="190">
        <f>SUM(B45:AL45)</f>
        <v>36.75</v>
      </c>
      <c r="AN45" s="42"/>
      <c r="AO45" s="42"/>
      <c r="AP45" s="42"/>
      <c r="AQ45" s="42"/>
      <c r="AR45" s="191" t="s">
        <v>16</v>
      </c>
      <c r="AS45" s="95">
        <f>SUM(AS38*AS39)</f>
        <v>59.515649999999994</v>
      </c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95">
        <f>SUM(CD38*CD39)</f>
        <v>0</v>
      </c>
      <c r="CE45" s="192">
        <f>SUM(AS45:CD45)</f>
        <v>59.515649999999994</v>
      </c>
      <c r="CF45" s="229"/>
      <c r="CG45" s="185"/>
      <c r="CH45" s="134"/>
      <c r="CI45" s="1"/>
      <c r="CJ45" s="1"/>
    </row>
    <row r="46" spans="1:88" ht="21" x14ac:dyDescent="0.35">
      <c r="A46" s="156" t="s">
        <v>17</v>
      </c>
      <c r="B46" s="193">
        <f>SUM(B38*B40)</f>
        <v>183.75</v>
      </c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5">
        <f>SUM(AL38*AL40)</f>
        <v>0</v>
      </c>
      <c r="AM46" s="196">
        <f>SUM(B46:AL46)</f>
        <v>183.75</v>
      </c>
      <c r="AN46" s="42"/>
      <c r="AO46" s="42"/>
      <c r="AP46" s="42"/>
      <c r="AQ46" s="42"/>
      <c r="AR46" s="197" t="s">
        <v>17</v>
      </c>
      <c r="AS46" s="106">
        <f>SUM(AS38*AS40)</f>
        <v>297.57824999999997</v>
      </c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106">
        <f>SUM(CD38*CD40)</f>
        <v>0</v>
      </c>
      <c r="CE46" s="198">
        <f>SUM(AS46:CD46)</f>
        <v>297.57824999999997</v>
      </c>
      <c r="CF46" s="229"/>
      <c r="CG46" s="185"/>
      <c r="CH46" s="134"/>
      <c r="CI46" s="1"/>
      <c r="CJ46" s="1"/>
    </row>
    <row r="47" spans="1:88" ht="21.75" thickBot="1" x14ac:dyDescent="0.4">
      <c r="A47" s="166" t="s">
        <v>18</v>
      </c>
      <c r="B47" s="199">
        <f>SUM(B38*B41)</f>
        <v>367.5</v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200">
        <f>SUM(AL38*AL41)</f>
        <v>14.700000000000001</v>
      </c>
      <c r="AM47" s="201">
        <f>SUM(B47:AL47)</f>
        <v>382.2</v>
      </c>
      <c r="AN47" s="42"/>
      <c r="AO47" s="42"/>
      <c r="AP47" s="42"/>
      <c r="AQ47" s="42"/>
      <c r="AR47" s="202" t="s">
        <v>18</v>
      </c>
      <c r="AS47" s="113">
        <f>SUM(AS38*AS41)</f>
        <v>595.15649999999994</v>
      </c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113">
        <f>SUM(CD38*CD41)</f>
        <v>23.806259999999998</v>
      </c>
      <c r="CE47" s="203">
        <f>SUM(AS47:CD47)</f>
        <v>618.96275999999989</v>
      </c>
      <c r="CF47" s="229"/>
      <c r="CG47" s="185"/>
      <c r="CH47" s="134"/>
      <c r="CI47" s="1"/>
      <c r="CJ47" s="1"/>
    </row>
    <row r="48" spans="1:88" ht="24" thickBot="1" x14ac:dyDescent="0.4">
      <c r="A48" s="148" t="s">
        <v>19</v>
      </c>
      <c r="B48" s="204">
        <f>SUM(B45:B47)</f>
        <v>588</v>
      </c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6">
        <v>14</v>
      </c>
      <c r="AM48" s="207">
        <f>SUM(B48:AL48)</f>
        <v>602</v>
      </c>
      <c r="AN48" s="42"/>
      <c r="AO48" s="42"/>
      <c r="AP48" s="208"/>
      <c r="AQ48" s="209"/>
      <c r="AR48" s="148" t="s">
        <v>19</v>
      </c>
      <c r="AS48" s="210">
        <f>SUM(AS45:AS47)</f>
        <v>952.2503999999999</v>
      </c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211"/>
      <c r="BP48" s="211"/>
      <c r="BQ48" s="211"/>
      <c r="BR48" s="211"/>
      <c r="BS48" s="211"/>
      <c r="BT48" s="211"/>
      <c r="BU48" s="211"/>
      <c r="BV48" s="211"/>
      <c r="BW48" s="211"/>
      <c r="BX48" s="211"/>
      <c r="BY48" s="211"/>
      <c r="BZ48" s="211"/>
      <c r="CA48" s="211"/>
      <c r="CB48" s="211"/>
      <c r="CC48" s="211"/>
      <c r="CD48" s="212">
        <f>SUM(CD45:CD47)</f>
        <v>23.806259999999998</v>
      </c>
      <c r="CE48" s="213">
        <f>SUM(AS48:CD48)</f>
        <v>976.05665999999985</v>
      </c>
      <c r="CF48" s="229"/>
      <c r="CG48" s="133"/>
      <c r="CH48" s="134"/>
      <c r="CI48" s="1"/>
      <c r="CJ48" s="1"/>
    </row>
    <row r="49" spans="1:88" ht="23.25" x14ac:dyDescent="0.35">
      <c r="A49" s="214"/>
      <c r="B49" s="215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7"/>
      <c r="AN49" s="42"/>
      <c r="AO49" s="42"/>
      <c r="AP49" s="42"/>
      <c r="AQ49" s="209"/>
      <c r="AR49" s="214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  <c r="BL49" s="218"/>
      <c r="BM49" s="218"/>
      <c r="BN49" s="218"/>
      <c r="BO49" s="218"/>
      <c r="BP49" s="218"/>
      <c r="BQ49" s="218"/>
      <c r="BR49" s="218"/>
      <c r="BS49" s="218"/>
      <c r="BT49" s="218"/>
      <c r="BU49" s="218"/>
      <c r="BV49" s="218"/>
      <c r="BW49" s="218"/>
      <c r="BX49" s="218"/>
      <c r="BY49" s="218"/>
      <c r="BZ49" s="218"/>
      <c r="CA49" s="218"/>
      <c r="CB49" s="218"/>
      <c r="CC49" s="218"/>
      <c r="CD49" s="218"/>
      <c r="CE49" s="218"/>
      <c r="CF49" s="219"/>
      <c r="CG49" s="133"/>
      <c r="CH49" s="134"/>
      <c r="CI49" s="1"/>
      <c r="CJ49" s="1"/>
    </row>
    <row r="50" spans="1:88" ht="23.25" x14ac:dyDescent="0.35">
      <c r="A50" s="130"/>
      <c r="B50" s="22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220"/>
      <c r="AM50" s="221"/>
      <c r="AN50" s="222"/>
      <c r="AO50" s="222"/>
      <c r="AP50" s="130"/>
      <c r="AQ50" s="222"/>
      <c r="AR50" s="223"/>
      <c r="AS50" s="223"/>
      <c r="AT50" s="223"/>
      <c r="AU50" s="223"/>
      <c r="AV50" s="223"/>
      <c r="AW50" s="223"/>
      <c r="AX50" s="223"/>
      <c r="AY50" s="223"/>
      <c r="AZ50" s="22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3"/>
      <c r="BL50" s="223"/>
      <c r="BM50" s="223"/>
      <c r="BN50" s="223"/>
      <c r="BO50" s="223"/>
      <c r="BP50" s="223"/>
      <c r="BQ50" s="223"/>
      <c r="BR50" s="223"/>
      <c r="BS50" s="223"/>
      <c r="BT50" s="223"/>
      <c r="BU50" s="223"/>
      <c r="BV50" s="223"/>
      <c r="BW50" s="223"/>
      <c r="BX50" s="223"/>
      <c r="BY50" s="223"/>
      <c r="BZ50" s="223"/>
      <c r="CA50" s="223"/>
      <c r="CB50" s="223"/>
      <c r="CC50" s="223"/>
      <c r="CD50" s="223"/>
      <c r="CE50" s="223"/>
      <c r="CF50" s="223"/>
      <c r="CG50" s="129"/>
      <c r="CH50" s="126"/>
      <c r="CI50" s="224"/>
      <c r="CJ50" s="130"/>
    </row>
    <row r="51" spans="1:88" ht="18.75" customHeight="1" x14ac:dyDescent="0.25">
      <c r="A51" s="232" t="s">
        <v>38</v>
      </c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/>
      <c r="BN51" s="232"/>
      <c r="BO51" s="232"/>
      <c r="BP51" s="232"/>
      <c r="BQ51" s="232"/>
      <c r="BR51" s="232"/>
      <c r="BS51" s="232"/>
      <c r="BT51" s="232"/>
      <c r="BU51" s="232"/>
      <c r="BV51" s="232"/>
      <c r="BW51" s="232"/>
      <c r="BX51" s="232"/>
      <c r="BY51" s="232"/>
      <c r="BZ51" s="232"/>
      <c r="CA51" s="232"/>
      <c r="CB51" s="232"/>
      <c r="CC51" s="232"/>
      <c r="CD51" s="232"/>
      <c r="CE51" s="232"/>
      <c r="CF51" s="232"/>
      <c r="CG51" s="232"/>
      <c r="CH51" s="232"/>
      <c r="CI51" s="232"/>
      <c r="CJ51" s="232"/>
    </row>
    <row r="52" spans="1:88" ht="18.75" customHeight="1" x14ac:dyDescent="0.25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2"/>
      <c r="BS52" s="232"/>
      <c r="BT52" s="232"/>
      <c r="BU52" s="232"/>
      <c r="BV52" s="232"/>
      <c r="BW52" s="232"/>
      <c r="BX52" s="232"/>
      <c r="BY52" s="232"/>
      <c r="BZ52" s="232"/>
      <c r="CA52" s="232"/>
      <c r="CB52" s="232"/>
      <c r="CC52" s="232"/>
      <c r="CD52" s="232"/>
      <c r="CE52" s="232"/>
      <c r="CF52" s="232"/>
      <c r="CG52" s="232"/>
      <c r="CH52" s="232"/>
      <c r="CI52" s="232"/>
      <c r="CJ52" s="232"/>
    </row>
    <row r="53" spans="1:88" ht="18.75" customHeight="1" x14ac:dyDescent="0.25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2"/>
      <c r="BN53" s="232"/>
      <c r="BO53" s="232"/>
      <c r="BP53" s="232"/>
      <c r="BQ53" s="232"/>
      <c r="BR53" s="232"/>
      <c r="BS53" s="232"/>
      <c r="BT53" s="232"/>
      <c r="BU53" s="232"/>
      <c r="BV53" s="232"/>
      <c r="BW53" s="232"/>
      <c r="BX53" s="232"/>
      <c r="BY53" s="232"/>
      <c r="BZ53" s="232"/>
      <c r="CA53" s="232"/>
      <c r="CB53" s="232"/>
      <c r="CC53" s="232"/>
      <c r="CD53" s="232"/>
      <c r="CE53" s="232"/>
      <c r="CF53" s="232"/>
      <c r="CG53" s="232"/>
      <c r="CH53" s="232"/>
      <c r="CI53" s="232"/>
      <c r="CJ53" s="232"/>
    </row>
    <row r="54" spans="1:88" ht="23.25" x14ac:dyDescent="0.35">
      <c r="A54" s="1"/>
      <c r="B54" s="22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25"/>
      <c r="AM54" s="225"/>
      <c r="AN54" s="226"/>
      <c r="AO54" s="226"/>
      <c r="AQ54" s="226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  <c r="BH54" s="227"/>
      <c r="BI54" s="227"/>
      <c r="BJ54" s="227"/>
      <c r="BK54" s="227"/>
      <c r="BL54" s="227"/>
      <c r="BM54" s="227"/>
      <c r="BN54" s="227"/>
      <c r="BO54" s="227"/>
      <c r="BP54" s="227"/>
      <c r="BQ54" s="227"/>
      <c r="BR54" s="227"/>
      <c r="BS54" s="227"/>
      <c r="BT54" s="227"/>
      <c r="BU54" s="227"/>
      <c r="BV54" s="227"/>
      <c r="BW54" s="227"/>
      <c r="BX54" s="227"/>
      <c r="BY54" s="227"/>
      <c r="BZ54" s="227"/>
      <c r="CA54" s="227"/>
      <c r="CB54" s="227"/>
      <c r="CC54" s="227"/>
      <c r="CD54" s="227"/>
      <c r="CE54" s="227"/>
      <c r="CF54" s="227"/>
      <c r="CG54" s="133"/>
      <c r="CH54" s="134"/>
      <c r="CI54" s="1"/>
      <c r="CJ54" s="1"/>
    </row>
    <row r="55" spans="1:88" ht="23.25" x14ac:dyDescent="0.35">
      <c r="A55" s="1"/>
      <c r="B55" s="22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25"/>
      <c r="AM55" s="225"/>
      <c r="AN55" s="226"/>
      <c r="AO55" s="226"/>
      <c r="AP55" s="1"/>
      <c r="AQ55" s="226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  <c r="BJ55" s="227"/>
      <c r="BK55" s="227"/>
      <c r="BL55" s="227"/>
      <c r="BM55" s="227"/>
      <c r="BN55" s="227"/>
      <c r="BO55" s="227"/>
      <c r="BP55" s="227"/>
      <c r="BQ55" s="227"/>
      <c r="BR55" s="227"/>
      <c r="BS55" s="227"/>
      <c r="BT55" s="227"/>
      <c r="BU55" s="227"/>
      <c r="BV55" s="227"/>
      <c r="BW55" s="227"/>
      <c r="BX55" s="227"/>
      <c r="BY55" s="227"/>
      <c r="BZ55" s="227"/>
      <c r="CA55" s="227"/>
      <c r="CB55" s="227"/>
      <c r="CC55" s="227"/>
      <c r="CD55" s="227"/>
      <c r="CE55" s="227"/>
      <c r="CF55" s="227"/>
      <c r="CG55" s="133"/>
      <c r="CH55" s="134"/>
      <c r="CI55" s="1"/>
      <c r="CJ55" s="1"/>
    </row>
    <row r="56" spans="1:88" ht="23.25" x14ac:dyDescent="0.35">
      <c r="A56" s="1"/>
      <c r="B56" s="22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25"/>
      <c r="AM56" s="225"/>
      <c r="AN56" s="226"/>
      <c r="AO56" s="226"/>
      <c r="AP56" s="1"/>
      <c r="AQ56" s="226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  <c r="BH56" s="227"/>
      <c r="BI56" s="227"/>
      <c r="BJ56" s="227"/>
      <c r="BK56" s="227"/>
      <c r="BL56" s="227"/>
      <c r="BM56" s="227"/>
      <c r="BN56" s="227"/>
      <c r="BO56" s="227"/>
      <c r="BP56" s="227"/>
      <c r="BQ56" s="227"/>
      <c r="BR56" s="227"/>
      <c r="BS56" s="227"/>
      <c r="BT56" s="227"/>
      <c r="BU56" s="227"/>
      <c r="BV56" s="227"/>
      <c r="BW56" s="227"/>
      <c r="BX56" s="227"/>
      <c r="BY56" s="227"/>
      <c r="BZ56" s="227"/>
      <c r="CA56" s="227"/>
      <c r="CB56" s="227"/>
      <c r="CC56" s="227"/>
      <c r="CD56" s="227"/>
      <c r="CE56" s="227"/>
      <c r="CF56" s="227"/>
      <c r="CG56" s="133"/>
      <c r="CH56" s="134"/>
      <c r="CI56" s="1"/>
      <c r="CJ56" s="1"/>
    </row>
    <row r="57" spans="1:88" s="2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s="2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 spans="1:88" s="2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 spans="1:88" s="2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 spans="1:88" s="2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 spans="1:88" s="2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 spans="1:88" s="2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s="2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 spans="1:88" s="2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 spans="1:88" s="2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 spans="1:88" s="2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 spans="1:88" s="2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 spans="1:88" s="2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 spans="1:88" s="2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 spans="1:88" s="2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 spans="1:88" s="2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 spans="1:88" s="2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 spans="1:88" s="2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 spans="1:88" s="2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 spans="1:88" s="2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 spans="1:88" s="2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 spans="1:88" s="2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 spans="1:88" s="2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 spans="1:88" s="2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 spans="1:88" s="2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 spans="1:88" s="2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 spans="1:88" s="2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 spans="1:88" s="2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1:88" s="2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 spans="1:88" s="2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 spans="1:88" s="2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 spans="1:88" s="2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 spans="1:88" s="2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 spans="1:88" s="2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 spans="1:88" s="2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 spans="1:88" s="2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 spans="1:88" s="2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 spans="1:88" s="2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 spans="1:88" s="2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 spans="1:88" s="2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 spans="1:88" s="2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 spans="1:88" s="2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 spans="1:88" s="2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 spans="1:88" s="2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 spans="1:88" s="2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 spans="1:88" s="2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 spans="1:88" s="2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 spans="1:88" s="2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 spans="1:88" s="2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 spans="1:88" s="2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 spans="1:88" s="2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1:88" s="2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 spans="1:88" s="2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 spans="1:88" s="2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</row>
    <row r="111" spans="1:88" s="2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</row>
    <row r="112" spans="1:88" s="2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</row>
    <row r="113" spans="1:88" s="2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 spans="1:88" s="2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 spans="1:88" s="2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</row>
    <row r="116" spans="1:88" s="2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</row>
    <row r="117" spans="1:88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</row>
    <row r="118" spans="1:88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</row>
    <row r="119" spans="1:88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</row>
    <row r="120" spans="1:88" s="2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</row>
    <row r="121" spans="1:88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</row>
    <row r="122" spans="1:88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</row>
    <row r="123" spans="1:88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</row>
    <row r="124" spans="1:88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</row>
    <row r="125" spans="1:88" s="2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spans="1:88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 spans="1:88" s="2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 spans="1:88" s="2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 spans="1:88" s="2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 spans="1:88" s="2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</row>
    <row r="131" spans="1:88" s="2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</row>
    <row r="132" spans="1:88" s="2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</row>
    <row r="133" spans="1:88" s="2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</row>
    <row r="134" spans="1:88" s="2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 spans="1:88" s="2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</row>
    <row r="136" spans="1:88" s="2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</row>
    <row r="137" spans="1:88" s="2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</row>
    <row r="138" spans="1:88" s="2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</row>
    <row r="139" spans="1:88" s="2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</row>
    <row r="140" spans="1:88" s="2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</row>
    <row r="141" spans="1:88" s="2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</row>
    <row r="142" spans="1:88" s="2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</row>
    <row r="143" spans="1:88" s="2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</row>
    <row r="144" spans="1:88" s="2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 spans="1:88" s="2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</row>
    <row r="146" spans="1:88" s="2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</row>
    <row r="147" spans="1:88" s="2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</row>
    <row r="148" spans="1:88" s="2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</row>
    <row r="149" spans="1:88" s="2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</row>
    <row r="150" spans="1:88" s="2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</row>
    <row r="151" spans="1:88" s="2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</row>
    <row r="152" spans="1:88" s="2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</row>
    <row r="153" spans="1:88" s="2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 spans="1:88" s="2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</row>
    <row r="155" spans="1:88" s="2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</row>
    <row r="156" spans="1:88" s="2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 spans="1:88" s="2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</row>
    <row r="158" spans="1:88" s="2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</row>
    <row r="159" spans="1:88" s="2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</row>
    <row r="160" spans="1:88" s="2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</row>
    <row r="161" spans="1:88" s="2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</row>
    <row r="162" spans="1:88" s="2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</row>
    <row r="163" spans="1:88" s="2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</row>
    <row r="164" spans="1:88" s="2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</row>
    <row r="165" spans="1:88" s="2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</row>
    <row r="166" spans="1:88" s="2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</row>
    <row r="167" spans="1:88" s="2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</row>
    <row r="168" spans="1:88" s="2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</row>
    <row r="169" spans="1:88" s="2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</row>
    <row r="170" spans="1:88" s="2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</row>
    <row r="171" spans="1:88" s="2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</row>
    <row r="172" spans="1:88" s="2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</row>
    <row r="173" spans="1:88" s="2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</row>
    <row r="174" spans="1:88" s="2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</row>
    <row r="175" spans="1:88" s="2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</row>
    <row r="176" spans="1:88" s="2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</row>
    <row r="177" spans="1:88" s="2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</row>
    <row r="178" spans="1:88" s="2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</row>
    <row r="179" spans="1:88" s="2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</row>
    <row r="180" spans="1:88" s="2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</row>
    <row r="181" spans="1:88" s="2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</row>
    <row r="182" spans="1:88" s="2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</row>
    <row r="183" spans="1:88" s="2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</row>
    <row r="184" spans="1:88" s="2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</row>
    <row r="185" spans="1:88" s="2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</row>
    <row r="186" spans="1:88" s="2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</row>
    <row r="187" spans="1:88" s="2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</row>
    <row r="188" spans="1:88" s="2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</row>
    <row r="189" spans="1:88" s="2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</row>
    <row r="190" spans="1:88" s="2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</row>
    <row r="191" spans="1:88" s="2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</row>
    <row r="192" spans="1:88" s="2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</row>
    <row r="193" spans="1:211" s="2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 spans="1:211" s="2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</row>
    <row r="195" spans="1:211" s="2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</row>
    <row r="196" spans="1:211" s="2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</row>
    <row r="197" spans="1:211" s="2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</row>
    <row r="198" spans="1:211" s="2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</row>
    <row r="199" spans="1:211" s="2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</row>
    <row r="200" spans="1:211" s="2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</row>
    <row r="201" spans="1:211" s="2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</row>
    <row r="202" spans="1:211" s="2" customForma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 s="1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</row>
    <row r="203" spans="1:211" s="2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 s="1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</row>
    <row r="204" spans="1:211" customFormat="1" x14ac:dyDescent="0.25">
      <c r="AO204" s="1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</row>
    <row r="205" spans="1:211" customFormat="1" x14ac:dyDescent="0.25">
      <c r="AO205" s="1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</row>
    <row r="206" spans="1:211" customFormat="1" x14ac:dyDescent="0.25">
      <c r="AO206" s="1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</row>
    <row r="207" spans="1:211" customFormat="1" x14ac:dyDescent="0.25">
      <c r="AO207" s="1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</row>
    <row r="208" spans="1:211" customFormat="1" x14ac:dyDescent="0.25">
      <c r="AO208" s="1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</row>
    <row r="209" spans="41:211" customFormat="1" x14ac:dyDescent="0.25">
      <c r="AO209" s="1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</row>
    <row r="210" spans="41:211" customFormat="1" x14ac:dyDescent="0.25">
      <c r="AO210" s="1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</row>
    <row r="211" spans="41:211" customFormat="1" x14ac:dyDescent="0.25">
      <c r="AO211" s="1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</row>
    <row r="212" spans="41:211" customFormat="1" x14ac:dyDescent="0.25">
      <c r="AO212" s="1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</row>
    <row r="213" spans="41:211" customFormat="1" x14ac:dyDescent="0.25">
      <c r="AO213" s="1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</row>
    <row r="214" spans="41:211" customFormat="1" x14ac:dyDescent="0.25">
      <c r="AO214" s="1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</row>
    <row r="215" spans="41:211" customFormat="1" x14ac:dyDescent="0.25">
      <c r="AO215" s="1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</row>
    <row r="216" spans="41:211" customFormat="1" x14ac:dyDescent="0.25">
      <c r="AO216" s="1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</row>
    <row r="217" spans="41:211" customFormat="1" x14ac:dyDescent="0.25">
      <c r="AO217" s="1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</row>
    <row r="218" spans="41:211" customFormat="1" x14ac:dyDescent="0.25">
      <c r="AO218" s="1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</row>
    <row r="219" spans="41:211" customFormat="1" x14ac:dyDescent="0.25">
      <c r="AO219" s="1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</row>
    <row r="220" spans="41:211" customFormat="1" x14ac:dyDescent="0.25">
      <c r="AO220" s="1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</row>
    <row r="221" spans="41:211" customFormat="1" x14ac:dyDescent="0.25">
      <c r="AO221" s="1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</row>
    <row r="222" spans="41:211" customFormat="1" x14ac:dyDescent="0.25">
      <c r="AO222" s="1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</row>
    <row r="223" spans="41:211" customFormat="1" x14ac:dyDescent="0.25">
      <c r="AO223" s="1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</row>
    <row r="224" spans="41:211" customFormat="1" x14ac:dyDescent="0.25">
      <c r="AO224" s="1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</row>
    <row r="225" spans="41:211" customFormat="1" x14ac:dyDescent="0.25">
      <c r="AO225" s="1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</row>
    <row r="226" spans="41:211" customFormat="1" x14ac:dyDescent="0.25">
      <c r="AO226" s="1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</row>
    <row r="227" spans="41:211" customFormat="1" x14ac:dyDescent="0.25">
      <c r="AO227" s="1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</row>
    <row r="228" spans="41:211" customFormat="1" x14ac:dyDescent="0.25">
      <c r="AO228" s="1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</row>
    <row r="229" spans="41:211" customFormat="1" x14ac:dyDescent="0.25">
      <c r="AO229" s="1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</row>
    <row r="230" spans="41:211" customFormat="1" x14ac:dyDescent="0.25">
      <c r="AO230" s="1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</row>
    <row r="231" spans="41:211" customFormat="1" x14ac:dyDescent="0.25">
      <c r="AO231" s="1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</row>
    <row r="232" spans="41:211" customFormat="1" x14ac:dyDescent="0.25">
      <c r="AO232" s="1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</row>
    <row r="233" spans="41:211" customFormat="1" x14ac:dyDescent="0.25">
      <c r="AO233" s="1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</row>
    <row r="234" spans="41:211" customFormat="1" x14ac:dyDescent="0.25">
      <c r="AO234" s="1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</row>
    <row r="235" spans="41:211" customFormat="1" x14ac:dyDescent="0.25">
      <c r="AO235" s="1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</row>
    <row r="236" spans="41:211" customFormat="1" x14ac:dyDescent="0.25">
      <c r="AO236" s="1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</row>
    <row r="237" spans="41:211" customFormat="1" x14ac:dyDescent="0.25">
      <c r="AO237" s="1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</row>
    <row r="238" spans="41:211" customFormat="1" x14ac:dyDescent="0.25">
      <c r="AO238" s="1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</row>
    <row r="239" spans="41:211" customFormat="1" x14ac:dyDescent="0.25">
      <c r="AO239" s="1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</row>
    <row r="240" spans="41:211" customFormat="1" x14ac:dyDescent="0.25">
      <c r="AO240" s="1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</row>
    <row r="241" spans="41:211" customFormat="1" x14ac:dyDescent="0.25">
      <c r="AO241" s="1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</row>
    <row r="242" spans="41:211" customFormat="1" x14ac:dyDescent="0.25">
      <c r="AO242" s="1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</row>
    <row r="243" spans="41:211" customFormat="1" x14ac:dyDescent="0.25">
      <c r="AO243" s="1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</row>
    <row r="244" spans="41:211" customFormat="1" x14ac:dyDescent="0.25">
      <c r="AO244" s="1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</row>
    <row r="245" spans="41:211" customFormat="1" x14ac:dyDescent="0.25">
      <c r="AO245" s="1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</row>
    <row r="246" spans="41:211" customFormat="1" x14ac:dyDescent="0.25">
      <c r="AO246" s="1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</row>
    <row r="247" spans="41:211" customFormat="1" x14ac:dyDescent="0.25">
      <c r="AO247" s="1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</row>
    <row r="248" spans="41:211" customFormat="1" x14ac:dyDescent="0.25">
      <c r="AO248" s="1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</row>
    <row r="249" spans="41:211" customFormat="1" x14ac:dyDescent="0.25">
      <c r="AO249" s="1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</row>
    <row r="250" spans="41:211" customFormat="1" x14ac:dyDescent="0.25">
      <c r="AO250" s="1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</row>
    <row r="251" spans="41:211" customFormat="1" x14ac:dyDescent="0.25">
      <c r="AO251" s="1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</row>
    <row r="252" spans="41:211" customFormat="1" x14ac:dyDescent="0.25">
      <c r="AO252" s="1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</row>
    <row r="253" spans="41:211" customFormat="1" x14ac:dyDescent="0.25">
      <c r="AO253" s="1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</row>
    <row r="254" spans="41:211" customFormat="1" x14ac:dyDescent="0.25">
      <c r="AO254" s="1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</row>
    <row r="255" spans="41:211" customFormat="1" x14ac:dyDescent="0.25">
      <c r="AO255" s="1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</row>
    <row r="256" spans="41:211" customFormat="1" x14ac:dyDescent="0.25">
      <c r="AO256" s="1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</row>
    <row r="257" spans="41:211" customFormat="1" x14ac:dyDescent="0.25">
      <c r="AO257" s="1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</row>
    <row r="258" spans="41:211" customFormat="1" x14ac:dyDescent="0.25">
      <c r="AO258" s="1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</row>
    <row r="259" spans="41:211" customFormat="1" x14ac:dyDescent="0.25">
      <c r="AO259" s="1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</row>
    <row r="260" spans="41:211" customFormat="1" x14ac:dyDescent="0.25">
      <c r="AO260" s="1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</row>
    <row r="261" spans="41:211" customFormat="1" x14ac:dyDescent="0.25">
      <c r="AO261" s="1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</row>
    <row r="262" spans="41:211" customFormat="1" x14ac:dyDescent="0.25">
      <c r="AO262" s="1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</row>
    <row r="263" spans="41:211" customFormat="1" x14ac:dyDescent="0.25">
      <c r="AO263" s="1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</row>
    <row r="264" spans="41:211" customFormat="1" x14ac:dyDescent="0.25">
      <c r="AO264" s="1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</row>
    <row r="265" spans="41:211" customFormat="1" x14ac:dyDescent="0.25">
      <c r="AO265" s="1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</row>
    <row r="266" spans="41:211" customFormat="1" x14ac:dyDescent="0.25">
      <c r="AO266" s="1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</row>
    <row r="267" spans="41:211" customFormat="1" x14ac:dyDescent="0.25">
      <c r="AO267" s="1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</row>
    <row r="268" spans="41:211" customFormat="1" x14ac:dyDescent="0.25">
      <c r="AO268" s="1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</row>
    <row r="269" spans="41:211" customFormat="1" x14ac:dyDescent="0.25">
      <c r="AO269" s="1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</row>
    <row r="270" spans="41:211" customFormat="1" x14ac:dyDescent="0.25">
      <c r="AO270" s="1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</row>
    <row r="271" spans="41:211" customFormat="1" x14ac:dyDescent="0.25">
      <c r="AO271" s="1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</row>
    <row r="272" spans="41:211" customFormat="1" x14ac:dyDescent="0.25">
      <c r="AO272" s="1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</row>
    <row r="273" spans="41:211" customFormat="1" x14ac:dyDescent="0.25">
      <c r="AO273" s="1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</row>
    <row r="274" spans="41:211" customFormat="1" x14ac:dyDescent="0.25">
      <c r="AO274" s="1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</row>
    <row r="275" spans="41:211" customFormat="1" x14ac:dyDescent="0.25">
      <c r="AO275" s="1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</row>
    <row r="276" spans="41:211" customFormat="1" x14ac:dyDescent="0.25">
      <c r="AO276" s="1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</row>
    <row r="277" spans="41:211" customFormat="1" x14ac:dyDescent="0.25">
      <c r="AO277" s="1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</row>
    <row r="278" spans="41:211" customFormat="1" x14ac:dyDescent="0.25">
      <c r="AO278" s="1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</row>
    <row r="279" spans="41:211" customFormat="1" x14ac:dyDescent="0.25">
      <c r="AO279" s="1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</row>
    <row r="280" spans="41:211" customFormat="1" x14ac:dyDescent="0.25">
      <c r="AO280" s="1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</row>
    <row r="281" spans="41:211" customFormat="1" x14ac:dyDescent="0.25">
      <c r="AO281" s="1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</row>
    <row r="282" spans="41:211" customFormat="1" x14ac:dyDescent="0.25">
      <c r="AO282" s="1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</row>
    <row r="283" spans="41:211" customFormat="1" x14ac:dyDescent="0.25">
      <c r="AO283" s="1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</row>
    <row r="284" spans="41:211" customFormat="1" x14ac:dyDescent="0.25">
      <c r="AO284" s="1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</row>
    <row r="285" spans="41:211" customFormat="1" x14ac:dyDescent="0.25">
      <c r="AO285" s="1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</row>
    <row r="286" spans="41:211" customFormat="1" x14ac:dyDescent="0.25">
      <c r="AO286" s="1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</row>
    <row r="287" spans="41:211" customFormat="1" x14ac:dyDescent="0.25">
      <c r="AO287" s="1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</row>
    <row r="288" spans="41:211" customFormat="1" x14ac:dyDescent="0.25">
      <c r="AO288" s="1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</row>
    <row r="289" spans="41:211" customFormat="1" x14ac:dyDescent="0.25">
      <c r="AO289" s="1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</row>
    <row r="290" spans="41:211" customFormat="1" x14ac:dyDescent="0.25">
      <c r="AO290" s="1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</row>
    <row r="291" spans="41:211" customFormat="1" x14ac:dyDescent="0.25">
      <c r="AO291" s="1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</row>
    <row r="292" spans="41:211" customFormat="1" x14ac:dyDescent="0.25">
      <c r="AO292" s="1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</row>
    <row r="293" spans="41:211" customFormat="1" x14ac:dyDescent="0.25">
      <c r="AO293" s="1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</row>
    <row r="294" spans="41:211" customFormat="1" x14ac:dyDescent="0.25">
      <c r="AO294" s="1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</row>
    <row r="295" spans="41:211" customFormat="1" x14ac:dyDescent="0.25">
      <c r="AO295" s="1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</row>
    <row r="296" spans="41:211" customFormat="1" x14ac:dyDescent="0.25">
      <c r="AO296" s="1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</row>
    <row r="297" spans="41:211" customFormat="1" x14ac:dyDescent="0.25">
      <c r="AO297" s="1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</row>
    <row r="298" spans="41:211" customFormat="1" x14ac:dyDescent="0.25">
      <c r="AO298" s="1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</row>
    <row r="299" spans="41:211" customFormat="1" x14ac:dyDescent="0.25">
      <c r="AO299" s="1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</row>
    <row r="300" spans="41:211" customFormat="1" x14ac:dyDescent="0.25">
      <c r="AO300" s="1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</row>
    <row r="301" spans="41:211" customFormat="1" x14ac:dyDescent="0.25">
      <c r="AO301" s="1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</row>
    <row r="302" spans="41:211" customFormat="1" x14ac:dyDescent="0.25">
      <c r="AO302" s="1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</row>
    <row r="303" spans="41:211" customFormat="1" x14ac:dyDescent="0.25">
      <c r="AO303" s="1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</row>
    <row r="304" spans="41:211" customFormat="1" x14ac:dyDescent="0.25">
      <c r="AO304" s="1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</row>
    <row r="305" spans="41:211" customFormat="1" x14ac:dyDescent="0.25">
      <c r="AO305" s="1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</row>
    <row r="306" spans="41:211" customFormat="1" x14ac:dyDescent="0.25">
      <c r="AO306" s="1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</row>
    <row r="307" spans="41:211" customFormat="1" x14ac:dyDescent="0.25">
      <c r="AO307" s="1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</row>
    <row r="308" spans="41:211" customFormat="1" x14ac:dyDescent="0.25">
      <c r="AO308" s="1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</row>
    <row r="309" spans="41:211" customFormat="1" x14ac:dyDescent="0.25">
      <c r="AO309" s="1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</row>
    <row r="310" spans="41:211" customFormat="1" x14ac:dyDescent="0.25">
      <c r="AO310" s="1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</row>
    <row r="311" spans="41:211" customFormat="1" x14ac:dyDescent="0.25">
      <c r="AO311" s="1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</row>
    <row r="312" spans="41:211" customFormat="1" x14ac:dyDescent="0.25">
      <c r="AO312" s="1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</row>
    <row r="313" spans="41:211" customFormat="1" x14ac:dyDescent="0.25">
      <c r="AO313" s="1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</row>
    <row r="314" spans="41:211" customFormat="1" x14ac:dyDescent="0.25">
      <c r="AO314" s="1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</row>
    <row r="315" spans="41:211" customFormat="1" x14ac:dyDescent="0.25">
      <c r="AO315" s="1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</row>
    <row r="316" spans="41:211" customFormat="1" x14ac:dyDescent="0.25">
      <c r="AO316" s="1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</row>
    <row r="317" spans="41:211" customFormat="1" x14ac:dyDescent="0.25">
      <c r="AO317" s="1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</row>
    <row r="318" spans="41:211" customFormat="1" x14ac:dyDescent="0.25">
      <c r="AO318" s="1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</row>
    <row r="319" spans="41:211" customFormat="1" x14ac:dyDescent="0.25">
      <c r="AO319" s="1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</row>
    <row r="320" spans="41:211" customFormat="1" x14ac:dyDescent="0.25">
      <c r="AO320" s="1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</row>
    <row r="321" spans="41:211" customFormat="1" x14ac:dyDescent="0.25">
      <c r="AO321" s="1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</row>
    <row r="322" spans="41:211" customFormat="1" x14ac:dyDescent="0.25">
      <c r="AO322" s="1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</row>
    <row r="323" spans="41:211" customFormat="1" x14ac:dyDescent="0.25">
      <c r="AO323" s="1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</row>
    <row r="324" spans="41:211" customFormat="1" x14ac:dyDescent="0.25">
      <c r="AO324" s="1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</row>
    <row r="325" spans="41:211" customFormat="1" x14ac:dyDescent="0.25">
      <c r="AO325" s="1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</row>
    <row r="326" spans="41:211" customFormat="1" x14ac:dyDescent="0.25">
      <c r="AO326" s="1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</row>
    <row r="327" spans="41:211" customFormat="1" x14ac:dyDescent="0.25">
      <c r="AO327" s="1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</row>
    <row r="328" spans="41:211" customFormat="1" x14ac:dyDescent="0.25">
      <c r="AO328" s="1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</row>
    <row r="329" spans="41:211" customFormat="1" x14ac:dyDescent="0.25">
      <c r="AO329" s="1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</row>
    <row r="330" spans="41:211" customFormat="1" x14ac:dyDescent="0.25">
      <c r="AO330" s="1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</row>
    <row r="331" spans="41:211" customFormat="1" x14ac:dyDescent="0.25">
      <c r="AO331" s="1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</row>
    <row r="332" spans="41:211" customFormat="1" x14ac:dyDescent="0.25">
      <c r="AO332" s="1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</row>
    <row r="333" spans="41:211" customFormat="1" x14ac:dyDescent="0.25">
      <c r="AO333" s="1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</row>
    <row r="334" spans="41:211" customFormat="1" x14ac:dyDescent="0.25">
      <c r="AO334" s="1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</row>
    <row r="335" spans="41:211" customFormat="1" x14ac:dyDescent="0.25">
      <c r="AO335" s="1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</row>
    <row r="336" spans="41:211" customFormat="1" x14ac:dyDescent="0.25">
      <c r="AO336" s="1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</row>
    <row r="337" spans="41:211" customFormat="1" x14ac:dyDescent="0.25">
      <c r="AO337" s="1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</row>
    <row r="338" spans="41:211" customFormat="1" x14ac:dyDescent="0.25">
      <c r="AO338" s="1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</row>
    <row r="339" spans="41:211" customFormat="1" x14ac:dyDescent="0.25">
      <c r="AO339" s="1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</row>
    <row r="340" spans="41:211" customFormat="1" x14ac:dyDescent="0.25">
      <c r="AO340" s="1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</row>
    <row r="341" spans="41:211" customFormat="1" x14ac:dyDescent="0.25">
      <c r="AO341" s="1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</row>
    <row r="342" spans="41:211" customFormat="1" x14ac:dyDescent="0.25">
      <c r="AO342" s="1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</row>
    <row r="343" spans="41:211" customFormat="1" x14ac:dyDescent="0.25">
      <c r="AO343" s="1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</row>
    <row r="344" spans="41:211" customFormat="1" x14ac:dyDescent="0.25">
      <c r="AO344" s="1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</row>
    <row r="345" spans="41:211" customFormat="1" x14ac:dyDescent="0.25">
      <c r="AO345" s="1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</row>
    <row r="346" spans="41:211" customFormat="1" x14ac:dyDescent="0.25">
      <c r="AO346" s="1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</row>
    <row r="347" spans="41:211" customFormat="1" x14ac:dyDescent="0.25">
      <c r="AO347" s="1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</row>
    <row r="348" spans="41:211" customFormat="1" x14ac:dyDescent="0.25">
      <c r="AO348" s="1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</row>
    <row r="349" spans="41:211" customFormat="1" x14ac:dyDescent="0.25">
      <c r="AO349" s="1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</row>
    <row r="350" spans="41:211" customFormat="1" x14ac:dyDescent="0.25">
      <c r="AO350" s="1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</row>
    <row r="351" spans="41:211" customFormat="1" x14ac:dyDescent="0.25">
      <c r="AO351" s="1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</row>
    <row r="352" spans="41:211" customFormat="1" x14ac:dyDescent="0.25">
      <c r="AO352" s="1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</row>
    <row r="353" spans="41:211" customFormat="1" x14ac:dyDescent="0.25">
      <c r="AO353" s="1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</row>
    <row r="354" spans="41:211" customFormat="1" x14ac:dyDescent="0.25">
      <c r="AO354" s="1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</row>
    <row r="355" spans="41:211" customFormat="1" x14ac:dyDescent="0.25">
      <c r="AO355" s="1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</row>
    <row r="356" spans="41:211" customFormat="1" x14ac:dyDescent="0.25">
      <c r="AO356" s="1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</row>
    <row r="357" spans="41:211" customFormat="1" x14ac:dyDescent="0.25">
      <c r="AO357" s="1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</row>
    <row r="358" spans="41:211" customFormat="1" x14ac:dyDescent="0.25">
      <c r="AO358" s="1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</row>
    <row r="359" spans="41:211" customFormat="1" x14ac:dyDescent="0.25">
      <c r="AO359" s="1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</row>
    <row r="360" spans="41:211" customFormat="1" x14ac:dyDescent="0.25">
      <c r="AO360" s="1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</row>
    <row r="361" spans="41:211" customFormat="1" x14ac:dyDescent="0.25">
      <c r="AO361" s="1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</row>
    <row r="362" spans="41:211" customFormat="1" x14ac:dyDescent="0.25">
      <c r="AO362" s="1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</row>
    <row r="363" spans="41:211" customFormat="1" x14ac:dyDescent="0.25">
      <c r="AO363" s="1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</row>
    <row r="364" spans="41:211" customFormat="1" x14ac:dyDescent="0.25">
      <c r="AO364" s="1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</row>
    <row r="365" spans="41:211" customFormat="1" x14ac:dyDescent="0.25">
      <c r="AO365" s="1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</row>
    <row r="366" spans="41:211" customFormat="1" x14ac:dyDescent="0.25">
      <c r="AO366" s="1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</row>
    <row r="367" spans="41:211" customFormat="1" x14ac:dyDescent="0.25">
      <c r="AO367" s="1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</row>
    <row r="368" spans="41:211" customFormat="1" x14ac:dyDescent="0.25">
      <c r="AO368" s="1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</row>
    <row r="369" spans="41:211" customFormat="1" x14ac:dyDescent="0.25">
      <c r="AO369" s="1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</row>
    <row r="370" spans="41:211" customFormat="1" x14ac:dyDescent="0.25">
      <c r="AO370" s="1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</row>
    <row r="371" spans="41:211" customFormat="1" x14ac:dyDescent="0.25">
      <c r="AO371" s="1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</row>
    <row r="372" spans="41:211" customFormat="1" x14ac:dyDescent="0.25">
      <c r="AO372" s="1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</row>
    <row r="373" spans="41:211" customFormat="1" x14ac:dyDescent="0.25">
      <c r="AO373" s="1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</row>
    <row r="374" spans="41:211" customFormat="1" x14ac:dyDescent="0.25">
      <c r="AO374" s="1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</row>
    <row r="375" spans="41:211" customFormat="1" x14ac:dyDescent="0.25">
      <c r="AO375" s="1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</row>
    <row r="376" spans="41:211" customFormat="1" x14ac:dyDescent="0.25">
      <c r="AO376" s="1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</row>
    <row r="377" spans="41:211" customFormat="1" x14ac:dyDescent="0.25">
      <c r="AO377" s="1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</row>
    <row r="378" spans="41:211" customFormat="1" x14ac:dyDescent="0.25">
      <c r="AO378" s="1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</row>
    <row r="379" spans="41:211" customFormat="1" x14ac:dyDescent="0.25">
      <c r="AO379" s="1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</row>
    <row r="380" spans="41:211" customFormat="1" x14ac:dyDescent="0.25">
      <c r="AO380" s="1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</row>
    <row r="381" spans="41:211" customFormat="1" x14ac:dyDescent="0.25">
      <c r="AO381" s="1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</row>
    <row r="382" spans="41:211" customFormat="1" x14ac:dyDescent="0.25">
      <c r="AO382" s="1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</row>
    <row r="383" spans="41:211" customFormat="1" x14ac:dyDescent="0.25">
      <c r="AO383" s="1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</row>
    <row r="384" spans="41:211" customFormat="1" x14ac:dyDescent="0.25">
      <c r="AO384" s="1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</row>
    <row r="385" spans="41:211" customFormat="1" x14ac:dyDescent="0.25">
      <c r="AO385" s="1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</row>
    <row r="386" spans="41:211" customFormat="1" x14ac:dyDescent="0.25">
      <c r="AO386" s="1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</row>
    <row r="387" spans="41:211" customFormat="1" x14ac:dyDescent="0.25">
      <c r="AO387" s="1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</row>
    <row r="388" spans="41:211" customFormat="1" x14ac:dyDescent="0.25">
      <c r="AO388" s="1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</row>
    <row r="389" spans="41:211" customFormat="1" x14ac:dyDescent="0.25">
      <c r="AO389" s="1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</row>
    <row r="390" spans="41:211" customFormat="1" x14ac:dyDescent="0.25">
      <c r="AO390" s="1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</row>
    <row r="391" spans="41:211" customFormat="1" x14ac:dyDescent="0.25">
      <c r="AO391" s="1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</row>
    <row r="392" spans="41:211" customFormat="1" x14ac:dyDescent="0.25">
      <c r="AO392" s="1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</row>
    <row r="393" spans="41:211" customFormat="1" x14ac:dyDescent="0.25">
      <c r="AO393" s="1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</row>
    <row r="394" spans="41:211" customFormat="1" x14ac:dyDescent="0.25">
      <c r="AO394" s="1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</row>
    <row r="395" spans="41:211" customFormat="1" x14ac:dyDescent="0.25">
      <c r="AO395" s="1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</row>
    <row r="396" spans="41:211" customFormat="1" x14ac:dyDescent="0.25">
      <c r="AO396" s="1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</row>
    <row r="397" spans="41:211" customFormat="1" x14ac:dyDescent="0.25">
      <c r="AO397" s="1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</row>
    <row r="398" spans="41:211" customFormat="1" x14ac:dyDescent="0.25">
      <c r="AO398" s="1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</row>
    <row r="399" spans="41:211" customFormat="1" x14ac:dyDescent="0.25">
      <c r="AO399" s="1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</row>
    <row r="400" spans="41:211" customFormat="1" x14ac:dyDescent="0.25">
      <c r="AO400" s="1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</row>
    <row r="401" spans="41:211" customFormat="1" x14ac:dyDescent="0.25">
      <c r="AO401" s="1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</row>
    <row r="402" spans="41:211" customFormat="1" x14ac:dyDescent="0.25">
      <c r="AO402" s="1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</row>
    <row r="403" spans="41:211" customFormat="1" x14ac:dyDescent="0.25">
      <c r="AO403" s="1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</row>
    <row r="404" spans="41:211" customFormat="1" x14ac:dyDescent="0.25">
      <c r="AO404" s="1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</row>
    <row r="405" spans="41:211" customFormat="1" x14ac:dyDescent="0.25">
      <c r="AO405" s="1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</row>
    <row r="406" spans="41:211" customFormat="1" x14ac:dyDescent="0.25">
      <c r="AO406" s="1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</row>
    <row r="407" spans="41:211" customFormat="1" x14ac:dyDescent="0.25">
      <c r="AO407" s="1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</row>
    <row r="408" spans="41:211" customFormat="1" x14ac:dyDescent="0.25">
      <c r="AO408" s="1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</row>
    <row r="409" spans="41:211" customFormat="1" x14ac:dyDescent="0.25">
      <c r="AO409" s="1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</row>
    <row r="410" spans="41:211" customFormat="1" x14ac:dyDescent="0.25">
      <c r="AO410" s="1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</row>
    <row r="411" spans="41:211" customFormat="1" x14ac:dyDescent="0.25">
      <c r="AO411" s="1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</row>
    <row r="412" spans="41:211" customFormat="1" x14ac:dyDescent="0.25">
      <c r="AO412" s="1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</row>
    <row r="413" spans="41:211" customFormat="1" x14ac:dyDescent="0.25">
      <c r="AO413" s="1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</row>
    <row r="414" spans="41:211" customFormat="1" x14ac:dyDescent="0.25">
      <c r="AO414" s="1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</row>
    <row r="415" spans="41:211" customFormat="1" x14ac:dyDescent="0.25">
      <c r="AO415" s="1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</row>
    <row r="416" spans="41:211" customFormat="1" x14ac:dyDescent="0.25">
      <c r="AO416" s="1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</row>
    <row r="417" spans="41:211" customFormat="1" x14ac:dyDescent="0.25">
      <c r="AO417" s="1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</row>
    <row r="418" spans="41:211" customFormat="1" x14ac:dyDescent="0.25">
      <c r="AO418" s="1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</row>
    <row r="419" spans="41:211" customFormat="1" x14ac:dyDescent="0.25">
      <c r="AO419" s="1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</row>
    <row r="420" spans="41:211" customFormat="1" x14ac:dyDescent="0.25">
      <c r="AO420" s="1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</row>
    <row r="421" spans="41:211" customFormat="1" x14ac:dyDescent="0.25">
      <c r="AO421" s="1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</row>
    <row r="422" spans="41:211" customFormat="1" x14ac:dyDescent="0.25">
      <c r="AO422" s="1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</row>
    <row r="423" spans="41:211" customFormat="1" x14ac:dyDescent="0.25">
      <c r="AO423" s="1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</row>
    <row r="424" spans="41:211" customFormat="1" x14ac:dyDescent="0.25">
      <c r="AO424" s="1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</row>
    <row r="425" spans="41:211" customFormat="1" x14ac:dyDescent="0.25">
      <c r="AO425" s="1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</row>
    <row r="426" spans="41:211" customFormat="1" x14ac:dyDescent="0.25">
      <c r="AO426" s="1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</row>
    <row r="427" spans="41:211" customFormat="1" x14ac:dyDescent="0.25">
      <c r="AO427" s="1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</row>
    <row r="428" spans="41:211" customFormat="1" x14ac:dyDescent="0.25">
      <c r="AO428" s="1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</row>
    <row r="429" spans="41:211" customFormat="1" x14ac:dyDescent="0.25">
      <c r="AO429" s="1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</row>
    <row r="430" spans="41:211" customFormat="1" x14ac:dyDescent="0.25">
      <c r="AO430" s="1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</row>
    <row r="431" spans="41:211" customFormat="1" x14ac:dyDescent="0.25">
      <c r="AO431" s="1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</row>
    <row r="432" spans="41:211" customFormat="1" x14ac:dyDescent="0.25">
      <c r="AO432" s="1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</row>
    <row r="433" spans="41:211" customFormat="1" x14ac:dyDescent="0.25">
      <c r="AO433" s="1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</row>
    <row r="434" spans="41:211" customFormat="1" x14ac:dyDescent="0.25">
      <c r="AO434" s="1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</row>
    <row r="435" spans="41:211" customFormat="1" x14ac:dyDescent="0.25">
      <c r="AO435" s="1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</row>
    <row r="436" spans="41:211" customFormat="1" x14ac:dyDescent="0.25">
      <c r="AO436" s="1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</row>
    <row r="437" spans="41:211" customFormat="1" x14ac:dyDescent="0.25">
      <c r="AO437" s="1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</row>
    <row r="438" spans="41:211" customFormat="1" x14ac:dyDescent="0.25">
      <c r="AO438" s="1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</row>
    <row r="439" spans="41:211" customFormat="1" x14ac:dyDescent="0.25">
      <c r="AO439" s="1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</row>
    <row r="440" spans="41:211" customFormat="1" x14ac:dyDescent="0.25">
      <c r="AO440" s="1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</row>
    <row r="441" spans="41:211" customFormat="1" x14ac:dyDescent="0.25">
      <c r="AO441" s="1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</row>
    <row r="442" spans="41:211" customFormat="1" x14ac:dyDescent="0.25">
      <c r="AO442" s="1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</row>
    <row r="443" spans="41:211" customFormat="1" x14ac:dyDescent="0.25">
      <c r="AO443" s="1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</row>
    <row r="444" spans="41:211" customFormat="1" x14ac:dyDescent="0.25">
      <c r="AO444" s="1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</row>
    <row r="445" spans="41:211" customFormat="1" x14ac:dyDescent="0.25">
      <c r="AO445" s="1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</row>
    <row r="446" spans="41:211" customFormat="1" x14ac:dyDescent="0.25">
      <c r="AO446" s="1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</row>
    <row r="447" spans="41:211" customFormat="1" x14ac:dyDescent="0.25">
      <c r="AO447" s="1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</row>
    <row r="448" spans="41:211" customFormat="1" x14ac:dyDescent="0.25">
      <c r="AO448" s="1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</row>
    <row r="449" spans="41:211" customFormat="1" x14ac:dyDescent="0.25">
      <c r="AO449" s="1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</row>
    <row r="450" spans="41:211" customFormat="1" x14ac:dyDescent="0.25">
      <c r="AO450" s="1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</row>
    <row r="451" spans="41:211" customFormat="1" x14ac:dyDescent="0.25">
      <c r="AO451" s="1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</row>
    <row r="452" spans="41:211" customFormat="1" x14ac:dyDescent="0.25">
      <c r="AO452" s="1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</row>
    <row r="453" spans="41:211" customFormat="1" x14ac:dyDescent="0.25">
      <c r="AO453" s="1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</row>
    <row r="454" spans="41:211" customFormat="1" x14ac:dyDescent="0.25">
      <c r="AO454" s="1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</row>
    <row r="455" spans="41:211" customFormat="1" x14ac:dyDescent="0.25">
      <c r="AO455" s="1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</row>
    <row r="456" spans="41:211" customFormat="1" x14ac:dyDescent="0.25">
      <c r="AO456" s="1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</row>
    <row r="457" spans="41:211" customFormat="1" x14ac:dyDescent="0.25">
      <c r="AO457" s="1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</row>
    <row r="458" spans="41:211" customFormat="1" x14ac:dyDescent="0.25">
      <c r="AO458" s="1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</row>
    <row r="459" spans="41:211" customFormat="1" x14ac:dyDescent="0.25">
      <c r="AO459" s="1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</row>
    <row r="460" spans="41:211" customFormat="1" x14ac:dyDescent="0.25">
      <c r="AO460" s="1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</row>
    <row r="461" spans="41:211" customFormat="1" x14ac:dyDescent="0.25">
      <c r="AO461" s="1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</row>
    <row r="462" spans="41:211" customFormat="1" x14ac:dyDescent="0.25">
      <c r="AO462" s="1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</row>
    <row r="463" spans="41:211" customFormat="1" x14ac:dyDescent="0.25">
      <c r="AO463" s="1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</row>
    <row r="464" spans="41:211" customFormat="1" x14ac:dyDescent="0.25">
      <c r="AO464" s="1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</row>
    <row r="465" spans="41:211" customFormat="1" x14ac:dyDescent="0.25">
      <c r="AO465" s="1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</row>
    <row r="466" spans="41:211" customFormat="1" x14ac:dyDescent="0.25">
      <c r="AO466" s="1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</row>
    <row r="467" spans="41:211" customFormat="1" x14ac:dyDescent="0.25">
      <c r="AO467" s="1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</row>
    <row r="468" spans="41:211" customFormat="1" x14ac:dyDescent="0.25">
      <c r="AO468" s="1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</row>
    <row r="469" spans="41:211" customFormat="1" x14ac:dyDescent="0.25">
      <c r="AO469" s="1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</row>
    <row r="470" spans="41:211" customFormat="1" x14ac:dyDescent="0.25">
      <c r="AO470" s="1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</row>
    <row r="471" spans="41:211" customFormat="1" x14ac:dyDescent="0.25">
      <c r="AO471" s="1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</row>
    <row r="472" spans="41:211" customFormat="1" x14ac:dyDescent="0.25">
      <c r="AO472" s="1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</row>
    <row r="473" spans="41:211" customFormat="1" x14ac:dyDescent="0.25">
      <c r="AO473" s="1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</row>
    <row r="474" spans="41:211" customFormat="1" x14ac:dyDescent="0.25">
      <c r="AO474" s="1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</row>
    <row r="475" spans="41:211" customFormat="1" x14ac:dyDescent="0.25">
      <c r="AO475" s="1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</row>
    <row r="476" spans="41:211" customFormat="1" x14ac:dyDescent="0.25">
      <c r="AO476" s="1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</row>
    <row r="477" spans="41:211" customFormat="1" x14ac:dyDescent="0.25">
      <c r="AO477" s="1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</row>
    <row r="478" spans="41:211" customFormat="1" x14ac:dyDescent="0.25">
      <c r="AO478" s="1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</row>
    <row r="479" spans="41:211" customFormat="1" x14ac:dyDescent="0.25">
      <c r="AO479" s="1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</row>
    <row r="480" spans="41:211" customFormat="1" x14ac:dyDescent="0.25">
      <c r="AO480" s="1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</row>
    <row r="481" spans="41:211" customFormat="1" x14ac:dyDescent="0.25">
      <c r="AO481" s="1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</row>
    <row r="482" spans="41:211" customFormat="1" x14ac:dyDescent="0.25">
      <c r="AO482" s="1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</row>
    <row r="483" spans="41:211" customFormat="1" x14ac:dyDescent="0.25">
      <c r="AO483" s="1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</row>
    <row r="484" spans="41:211" customFormat="1" x14ac:dyDescent="0.25">
      <c r="AO484" s="1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</row>
    <row r="485" spans="41:211" customFormat="1" x14ac:dyDescent="0.25">
      <c r="AO485" s="1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</row>
    <row r="486" spans="41:211" customFormat="1" x14ac:dyDescent="0.25">
      <c r="AO486" s="1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</row>
    <row r="487" spans="41:211" customFormat="1" x14ac:dyDescent="0.25">
      <c r="AO487" s="1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</row>
    <row r="488" spans="41:211" customFormat="1" x14ac:dyDescent="0.25">
      <c r="AO488" s="1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</row>
    <row r="489" spans="41:211" customFormat="1" x14ac:dyDescent="0.25">
      <c r="AO489" s="1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</row>
    <row r="490" spans="41:211" customFormat="1" x14ac:dyDescent="0.25">
      <c r="AO490" s="1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</row>
    <row r="491" spans="41:211" customFormat="1" x14ac:dyDescent="0.25">
      <c r="AO491" s="1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</row>
    <row r="492" spans="41:211" customFormat="1" x14ac:dyDescent="0.25">
      <c r="AO492" s="1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</row>
    <row r="493" spans="41:211" customFormat="1" x14ac:dyDescent="0.25">
      <c r="AO493" s="1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</row>
    <row r="494" spans="41:211" customFormat="1" x14ac:dyDescent="0.25">
      <c r="AO494" s="1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</row>
    <row r="495" spans="41:211" customFormat="1" x14ac:dyDescent="0.25">
      <c r="AO495" s="1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</row>
    <row r="496" spans="41:211" customFormat="1" x14ac:dyDescent="0.25">
      <c r="AO496" s="1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</row>
    <row r="497" spans="41:211" customFormat="1" x14ac:dyDescent="0.25">
      <c r="AO497" s="1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</row>
    <row r="498" spans="41:211" customFormat="1" x14ac:dyDescent="0.25">
      <c r="AO498" s="1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</row>
    <row r="499" spans="41:211" customFormat="1" x14ac:dyDescent="0.25">
      <c r="AO499" s="1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</row>
    <row r="500" spans="41:211" customFormat="1" x14ac:dyDescent="0.25">
      <c r="AO500" s="1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</row>
    <row r="501" spans="41:211" customFormat="1" x14ac:dyDescent="0.25">
      <c r="AO501" s="1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</row>
    <row r="502" spans="41:211" customFormat="1" x14ac:dyDescent="0.25">
      <c r="AO502" s="1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</row>
    <row r="503" spans="41:211" customFormat="1" x14ac:dyDescent="0.25">
      <c r="AO503" s="1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</row>
    <row r="504" spans="41:211" customFormat="1" x14ac:dyDescent="0.25">
      <c r="AO504" s="1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</row>
    <row r="505" spans="41:211" customFormat="1" x14ac:dyDescent="0.25">
      <c r="AO505" s="1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</row>
    <row r="506" spans="41:211" customFormat="1" x14ac:dyDescent="0.25">
      <c r="AO506" s="1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</row>
    <row r="507" spans="41:211" customFormat="1" x14ac:dyDescent="0.25">
      <c r="AO507" s="1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</row>
    <row r="508" spans="41:211" customFormat="1" x14ac:dyDescent="0.25">
      <c r="AO508" s="1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</row>
    <row r="509" spans="41:211" customFormat="1" x14ac:dyDescent="0.25">
      <c r="AO509" s="1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</row>
    <row r="510" spans="41:211" customFormat="1" x14ac:dyDescent="0.25">
      <c r="AO510" s="1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</row>
    <row r="511" spans="41:211" customFormat="1" x14ac:dyDescent="0.25">
      <c r="AO511" s="1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</row>
    <row r="512" spans="41:211" customFormat="1" x14ac:dyDescent="0.25">
      <c r="AO512" s="1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</row>
    <row r="513" spans="41:211" customFormat="1" x14ac:dyDescent="0.25">
      <c r="AO513" s="1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</row>
    <row r="514" spans="41:211" customFormat="1" x14ac:dyDescent="0.25">
      <c r="AO514" s="1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</row>
    <row r="515" spans="41:211" customFormat="1" x14ac:dyDescent="0.25">
      <c r="AO515" s="1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</row>
    <row r="516" spans="41:211" customFormat="1" x14ac:dyDescent="0.25">
      <c r="AO516" s="1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</row>
    <row r="517" spans="41:211" customFormat="1" x14ac:dyDescent="0.25">
      <c r="AO517" s="1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</row>
    <row r="518" spans="41:211" customFormat="1" x14ac:dyDescent="0.25">
      <c r="AO518" s="1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</row>
    <row r="519" spans="41:211" customFormat="1" x14ac:dyDescent="0.25">
      <c r="AO519" s="1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</row>
    <row r="520" spans="41:211" customFormat="1" x14ac:dyDescent="0.25">
      <c r="AO520" s="1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</row>
    <row r="521" spans="41:211" customFormat="1" x14ac:dyDescent="0.25">
      <c r="AO521" s="1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</row>
    <row r="522" spans="41:211" customFormat="1" x14ac:dyDescent="0.25">
      <c r="AO522" s="1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</row>
    <row r="523" spans="41:211" customFormat="1" x14ac:dyDescent="0.25">
      <c r="AO523" s="1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</row>
    <row r="524" spans="41:211" customFormat="1" x14ac:dyDescent="0.25">
      <c r="AO524" s="1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</row>
    <row r="525" spans="41:211" customFormat="1" x14ac:dyDescent="0.25">
      <c r="AO525" s="1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</row>
    <row r="526" spans="41:211" customFormat="1" x14ac:dyDescent="0.25">
      <c r="AO526" s="1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</row>
    <row r="527" spans="41:211" customFormat="1" x14ac:dyDescent="0.25">
      <c r="AO527" s="1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</row>
    <row r="528" spans="41:211" customFormat="1" x14ac:dyDescent="0.25">
      <c r="AO528" s="1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</row>
    <row r="529" spans="41:211" customFormat="1" x14ac:dyDescent="0.25">
      <c r="AO529" s="1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</row>
    <row r="530" spans="41:211" customFormat="1" x14ac:dyDescent="0.25">
      <c r="AO530" s="1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</row>
    <row r="531" spans="41:211" customFormat="1" x14ac:dyDescent="0.25">
      <c r="AO531" s="1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</row>
    <row r="532" spans="41:211" customFormat="1" x14ac:dyDescent="0.25">
      <c r="AO532" s="1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</row>
    <row r="533" spans="41:211" customFormat="1" x14ac:dyDescent="0.25">
      <c r="AO533" s="1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</row>
    <row r="534" spans="41:211" customFormat="1" x14ac:dyDescent="0.25">
      <c r="AO534" s="1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</row>
    <row r="535" spans="41:211" customFormat="1" x14ac:dyDescent="0.25">
      <c r="AO535" s="1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</row>
    <row r="536" spans="41:211" customFormat="1" x14ac:dyDescent="0.25">
      <c r="AO536" s="1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</row>
    <row r="537" spans="41:211" customFormat="1" x14ac:dyDescent="0.25">
      <c r="AO537" s="1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</row>
    <row r="538" spans="41:211" customFormat="1" x14ac:dyDescent="0.25">
      <c r="AO538" s="1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</row>
    <row r="539" spans="41:211" customFormat="1" x14ac:dyDescent="0.25">
      <c r="AO539" s="1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</row>
    <row r="540" spans="41:211" customFormat="1" x14ac:dyDescent="0.25">
      <c r="AO540" s="1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</row>
    <row r="541" spans="41:211" customFormat="1" x14ac:dyDescent="0.25">
      <c r="AO541" s="1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</row>
    <row r="542" spans="41:211" customFormat="1" x14ac:dyDescent="0.25">
      <c r="AO542" s="1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</row>
    <row r="543" spans="41:211" customFormat="1" x14ac:dyDescent="0.25">
      <c r="AO543" s="1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</row>
    <row r="544" spans="41:211" customFormat="1" x14ac:dyDescent="0.25">
      <c r="AO544" s="1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</row>
    <row r="545" spans="41:211" customFormat="1" x14ac:dyDescent="0.25">
      <c r="AO545" s="1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</row>
    <row r="546" spans="41:211" customFormat="1" x14ac:dyDescent="0.25">
      <c r="AO546" s="1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</row>
    <row r="547" spans="41:211" customFormat="1" x14ac:dyDescent="0.25">
      <c r="AO547" s="1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</row>
    <row r="548" spans="41:211" customFormat="1" x14ac:dyDescent="0.25">
      <c r="AO548" s="1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</row>
    <row r="549" spans="41:211" customFormat="1" x14ac:dyDescent="0.25">
      <c r="AO549" s="1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</row>
    <row r="550" spans="41:211" customFormat="1" x14ac:dyDescent="0.25">
      <c r="AO550" s="1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</row>
    <row r="551" spans="41:211" customFormat="1" x14ac:dyDescent="0.25">
      <c r="AO551" s="1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</row>
    <row r="552" spans="41:211" customFormat="1" x14ac:dyDescent="0.25">
      <c r="AO552" s="1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</row>
    <row r="553" spans="41:211" customFormat="1" x14ac:dyDescent="0.25">
      <c r="AO553" s="1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</row>
    <row r="554" spans="41:211" customFormat="1" x14ac:dyDescent="0.25">
      <c r="AO554" s="1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</row>
    <row r="555" spans="41:211" customFormat="1" x14ac:dyDescent="0.25">
      <c r="AO555" s="1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</row>
    <row r="556" spans="41:211" customFormat="1" x14ac:dyDescent="0.25">
      <c r="AO556" s="1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</row>
    <row r="557" spans="41:211" customFormat="1" x14ac:dyDescent="0.25">
      <c r="AO557" s="1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</row>
    <row r="558" spans="41:211" customFormat="1" x14ac:dyDescent="0.25">
      <c r="AO558" s="1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</row>
    <row r="559" spans="41:211" customFormat="1" x14ac:dyDescent="0.25">
      <c r="AO559" s="1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</row>
    <row r="560" spans="41:211" customFormat="1" x14ac:dyDescent="0.25">
      <c r="AO560" s="1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</row>
    <row r="561" spans="41:211" customFormat="1" x14ac:dyDescent="0.25">
      <c r="AO561" s="1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</row>
    <row r="562" spans="41:211" customFormat="1" x14ac:dyDescent="0.25">
      <c r="AO562" s="1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</row>
    <row r="563" spans="41:211" customFormat="1" x14ac:dyDescent="0.25">
      <c r="AO563" s="1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</row>
    <row r="564" spans="41:211" customFormat="1" x14ac:dyDescent="0.25">
      <c r="AO564" s="1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</row>
    <row r="565" spans="41:211" customFormat="1" x14ac:dyDescent="0.25">
      <c r="AO565" s="1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</row>
    <row r="566" spans="41:211" customFormat="1" x14ac:dyDescent="0.25">
      <c r="AO566" s="1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</row>
    <row r="567" spans="41:211" customFormat="1" x14ac:dyDescent="0.25">
      <c r="AO567" s="1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</row>
    <row r="568" spans="41:211" customFormat="1" x14ac:dyDescent="0.25">
      <c r="AO568" s="1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</row>
    <row r="569" spans="41:211" customFormat="1" x14ac:dyDescent="0.25">
      <c r="AO569" s="1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</row>
    <row r="570" spans="41:211" customFormat="1" x14ac:dyDescent="0.25">
      <c r="AO570" s="1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</row>
    <row r="571" spans="41:211" customFormat="1" x14ac:dyDescent="0.25">
      <c r="AO571" s="1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</row>
    <row r="572" spans="41:211" customFormat="1" x14ac:dyDescent="0.25">
      <c r="AO572" s="1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</row>
    <row r="573" spans="41:211" customFormat="1" x14ac:dyDescent="0.25">
      <c r="AO573" s="1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</row>
    <row r="574" spans="41:211" customFormat="1" x14ac:dyDescent="0.25">
      <c r="AO574" s="1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</row>
    <row r="575" spans="41:211" customFormat="1" x14ac:dyDescent="0.25">
      <c r="AO575" s="1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</row>
    <row r="576" spans="41:211" customFormat="1" x14ac:dyDescent="0.25">
      <c r="AO576" s="1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</row>
    <row r="577" spans="41:211" customFormat="1" x14ac:dyDescent="0.25">
      <c r="AO577" s="1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</row>
    <row r="578" spans="41:211" customFormat="1" x14ac:dyDescent="0.25">
      <c r="AO578" s="1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</row>
    <row r="579" spans="41:211" customFormat="1" x14ac:dyDescent="0.25">
      <c r="AO579" s="1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</row>
    <row r="580" spans="41:211" customFormat="1" x14ac:dyDescent="0.25">
      <c r="AO580" s="1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</row>
    <row r="581" spans="41:211" customFormat="1" x14ac:dyDescent="0.25">
      <c r="AO581" s="1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</row>
    <row r="582" spans="41:211" customFormat="1" x14ac:dyDescent="0.25">
      <c r="AO582" s="1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</row>
    <row r="583" spans="41:211" customFormat="1" x14ac:dyDescent="0.25">
      <c r="AO583" s="1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</row>
    <row r="584" spans="41:211" customFormat="1" x14ac:dyDescent="0.25">
      <c r="AO584" s="1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</row>
    <row r="585" spans="41:211" customFormat="1" x14ac:dyDescent="0.25">
      <c r="AO585" s="1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</row>
    <row r="586" spans="41:211" customFormat="1" x14ac:dyDescent="0.25">
      <c r="AO586" s="1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</row>
    <row r="587" spans="41:211" customFormat="1" x14ac:dyDescent="0.25">
      <c r="AO587" s="1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</row>
    <row r="588" spans="41:211" customFormat="1" x14ac:dyDescent="0.25">
      <c r="AO588" s="1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</row>
    <row r="589" spans="41:211" customFormat="1" x14ac:dyDescent="0.25">
      <c r="AO589" s="1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</row>
    <row r="590" spans="41:211" customFormat="1" x14ac:dyDescent="0.25">
      <c r="AO590" s="1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</row>
    <row r="591" spans="41:211" customFormat="1" x14ac:dyDescent="0.25">
      <c r="AO591" s="1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</row>
    <row r="592" spans="41:211" customFormat="1" x14ac:dyDescent="0.25">
      <c r="AO592" s="1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</row>
    <row r="593" spans="41:211" customFormat="1" x14ac:dyDescent="0.25">
      <c r="AO593" s="1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</row>
    <row r="594" spans="41:211" customFormat="1" x14ac:dyDescent="0.25">
      <c r="AO594" s="1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</row>
    <row r="595" spans="41:211" customFormat="1" x14ac:dyDescent="0.25">
      <c r="AO595" s="1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</row>
    <row r="596" spans="41:211" customFormat="1" x14ac:dyDescent="0.25">
      <c r="AO596" s="1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</row>
    <row r="597" spans="41:211" customFormat="1" x14ac:dyDescent="0.25">
      <c r="AO597" s="1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</row>
    <row r="598" spans="41:211" customFormat="1" x14ac:dyDescent="0.25">
      <c r="AO598" s="1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</row>
    <row r="599" spans="41:211" customFormat="1" x14ac:dyDescent="0.25">
      <c r="AO599" s="1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</row>
    <row r="600" spans="41:211" customFormat="1" x14ac:dyDescent="0.25">
      <c r="AO600" s="1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</row>
    <row r="601" spans="41:211" customFormat="1" x14ac:dyDescent="0.25">
      <c r="AO601" s="1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</row>
    <row r="602" spans="41:211" customFormat="1" x14ac:dyDescent="0.25">
      <c r="AO602" s="1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</row>
    <row r="603" spans="41:211" customFormat="1" x14ac:dyDescent="0.25">
      <c r="AO603" s="1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</row>
    <row r="604" spans="41:211" customFormat="1" x14ac:dyDescent="0.25">
      <c r="AO604" s="1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</row>
    <row r="605" spans="41:211" customFormat="1" x14ac:dyDescent="0.25">
      <c r="AO605" s="1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</row>
    <row r="606" spans="41:211" customFormat="1" x14ac:dyDescent="0.25">
      <c r="AO606" s="1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</row>
    <row r="607" spans="41:211" customFormat="1" x14ac:dyDescent="0.25">
      <c r="AO607" s="1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</row>
    <row r="608" spans="41:211" customFormat="1" x14ac:dyDescent="0.25">
      <c r="AO608" s="1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</row>
    <row r="609" spans="41:211" customFormat="1" x14ac:dyDescent="0.25">
      <c r="AO609" s="1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</row>
    <row r="610" spans="41:211" customFormat="1" x14ac:dyDescent="0.25">
      <c r="AO610" s="1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</row>
    <row r="611" spans="41:211" customFormat="1" x14ac:dyDescent="0.25">
      <c r="AO611" s="1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</row>
    <row r="612" spans="41:211" customFormat="1" x14ac:dyDescent="0.25">
      <c r="AO612" s="1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</row>
    <row r="613" spans="41:211" customFormat="1" x14ac:dyDescent="0.25">
      <c r="AO613" s="1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</row>
    <row r="614" spans="41:211" customFormat="1" x14ac:dyDescent="0.25">
      <c r="AO614" s="1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</row>
    <row r="615" spans="41:211" customFormat="1" x14ac:dyDescent="0.25">
      <c r="AO615" s="1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</row>
    <row r="616" spans="41:211" customFormat="1" x14ac:dyDescent="0.25">
      <c r="AO616" s="1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</row>
    <row r="617" spans="41:211" customFormat="1" x14ac:dyDescent="0.25">
      <c r="AO617" s="1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</row>
    <row r="618" spans="41:211" customFormat="1" x14ac:dyDescent="0.25">
      <c r="AO618" s="1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</row>
    <row r="619" spans="41:211" customFormat="1" x14ac:dyDescent="0.25">
      <c r="AO619" s="1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</row>
    <row r="620" spans="41:211" customFormat="1" x14ac:dyDescent="0.25">
      <c r="AO620" s="1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</row>
    <row r="621" spans="41:211" customFormat="1" x14ac:dyDescent="0.25">
      <c r="AO621" s="1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</row>
    <row r="622" spans="41:211" customFormat="1" x14ac:dyDescent="0.25">
      <c r="AO622" s="1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</row>
    <row r="623" spans="41:211" customFormat="1" x14ac:dyDescent="0.25">
      <c r="AO623" s="1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</row>
    <row r="624" spans="41:211" customFormat="1" x14ac:dyDescent="0.25">
      <c r="AO624" s="1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</row>
    <row r="625" spans="41:211" customFormat="1" x14ac:dyDescent="0.25">
      <c r="AO625" s="1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</row>
    <row r="626" spans="41:211" customFormat="1" x14ac:dyDescent="0.25">
      <c r="AO626" s="1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</row>
    <row r="627" spans="41:211" customFormat="1" x14ac:dyDescent="0.25">
      <c r="AO627" s="1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</row>
    <row r="628" spans="41:211" customFormat="1" x14ac:dyDescent="0.25">
      <c r="AO628" s="1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</row>
    <row r="629" spans="41:211" customFormat="1" x14ac:dyDescent="0.25">
      <c r="AO629" s="1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</row>
    <row r="630" spans="41:211" customFormat="1" x14ac:dyDescent="0.25">
      <c r="AO630" s="1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</row>
    <row r="631" spans="41:211" customFormat="1" x14ac:dyDescent="0.25">
      <c r="AO631" s="1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</row>
    <row r="632" spans="41:211" customFormat="1" x14ac:dyDescent="0.25">
      <c r="AO632" s="1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</row>
    <row r="633" spans="41:211" customFormat="1" x14ac:dyDescent="0.25">
      <c r="AO633" s="1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</row>
    <row r="634" spans="41:211" customFormat="1" x14ac:dyDescent="0.25">
      <c r="AO634" s="1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</row>
    <row r="635" spans="41:211" customFormat="1" x14ac:dyDescent="0.25">
      <c r="AO635" s="1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</row>
    <row r="636" spans="41:211" customFormat="1" x14ac:dyDescent="0.25">
      <c r="AO636" s="1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</row>
    <row r="637" spans="41:211" customFormat="1" x14ac:dyDescent="0.25">
      <c r="AO637" s="1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</row>
    <row r="638" spans="41:211" customFormat="1" x14ac:dyDescent="0.25">
      <c r="AO638" s="1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</row>
    <row r="639" spans="41:211" customFormat="1" x14ac:dyDescent="0.25">
      <c r="AO639" s="1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</row>
    <row r="640" spans="41:211" customFormat="1" x14ac:dyDescent="0.25">
      <c r="AO640" s="1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</row>
    <row r="641" spans="41:211" customFormat="1" x14ac:dyDescent="0.25">
      <c r="AO641" s="1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</row>
    <row r="642" spans="41:211" customFormat="1" x14ac:dyDescent="0.25">
      <c r="AO642" s="1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</row>
    <row r="643" spans="41:211" customFormat="1" x14ac:dyDescent="0.25">
      <c r="AO643" s="1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</row>
    <row r="644" spans="41:211" customFormat="1" x14ac:dyDescent="0.25">
      <c r="AO644" s="1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</row>
  </sheetData>
  <mergeCells count="19">
    <mergeCell ref="A35:AN35"/>
    <mergeCell ref="AQ35:CF36"/>
    <mergeCell ref="A36:AM36"/>
    <mergeCell ref="A7:AN7"/>
    <mergeCell ref="AO7:CJ7"/>
    <mergeCell ref="A8:AN8"/>
    <mergeCell ref="AR8:CF8"/>
    <mergeCell ref="A9:AN9"/>
    <mergeCell ref="AR9:CF9"/>
    <mergeCell ref="A16:AN16"/>
    <mergeCell ref="AR16:CF16"/>
    <mergeCell ref="A23:CJ24"/>
    <mergeCell ref="A34:AN34"/>
    <mergeCell ref="AO34:CJ34"/>
    <mergeCell ref="CF38:CF42"/>
    <mergeCell ref="A43:AM43"/>
    <mergeCell ref="AR43:CF43"/>
    <mergeCell ref="CF45:CF48"/>
    <mergeCell ref="A51:CJ53"/>
  </mergeCells>
  <pageMargins left="0.25" right="0.25" top="0.75" bottom="0.75" header="0.3" footer="0.3"/>
  <pageSetup paperSize="256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REGULACION TECHOS ENERO -DIC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Katiria Gomez</dc:creator>
  <cp:lastModifiedBy>Katiria Gomez</cp:lastModifiedBy>
  <dcterms:created xsi:type="dcterms:W3CDTF">2025-03-11T20:34:54Z</dcterms:created>
  <dcterms:modified xsi:type="dcterms:W3CDTF">2025-07-10T19:24:57Z</dcterms:modified>
</cp:coreProperties>
</file>